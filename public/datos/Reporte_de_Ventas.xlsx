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202300"/>
  <mc:AlternateContent xmlns:mc="http://schemas.openxmlformats.org/markup-compatibility/2006">
    <mc:Choice Requires="x15">
      <x15ac:absPath xmlns:x15ac="http://schemas.microsoft.com/office/spreadsheetml/2010/11/ac" url="C:\Users\Miguel Dimas\Desktop\"/>
    </mc:Choice>
  </mc:AlternateContent>
  <xr:revisionPtr revIDLastSave="0" documentId="8_{56BB3C82-9F9F-45D6-8628-4F5134F314F7}" xr6:coauthVersionLast="47" xr6:coauthVersionMax="47" xr10:uidLastSave="{00000000-0000-0000-0000-000000000000}"/>
  <bookViews>
    <workbookView xWindow="-120" yWindow="-120" windowWidth="20730" windowHeight="11040" tabRatio="868" xr2:uid="{61570FA8-6CBE-4879-B43E-48AA6C398E46}"/>
  </bookViews>
  <sheets>
    <sheet name="Regiones" sheetId="1" r:id="rId1"/>
    <sheet name="Bicicletas" sheetId="2" r:id="rId2"/>
    <sheet name="Zonas" sheetId="3" r:id="rId3"/>
    <sheet name="Resultados" sheetId="4" r:id="rId4"/>
    <sheet name="Tratamientos" sheetId="5" r:id="rId5"/>
    <sheet name="Exportación" sheetId="6" r:id="rId6"/>
    <sheet name="Analisis" sheetId="7" r:id="rId7"/>
    <sheet name="Notas" sheetId="8" r:id="rId8"/>
    <sheet name="Notas 2" sheetId="9" r:id="rId9"/>
    <sheet name="Result" sheetId="10" r:id="rId10"/>
    <sheet name="Desagrupar" sheetId="11" r:id="rId11"/>
  </sheets>
  <definedNames>
    <definedName name="_xlnm.Print_Titles" localSheetId="9">Result!$1:$6</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c r="G25" i="10"/>
  <c r="G24" i="10"/>
  <c r="G23" i="10"/>
  <c r="G22" i="10"/>
  <c r="G21" i="10"/>
  <c r="G20" i="10"/>
  <c r="G19" i="10"/>
  <c r="G18" i="10"/>
  <c r="G17" i="10"/>
  <c r="G16" i="10"/>
  <c r="G15" i="10"/>
  <c r="G14" i="10"/>
  <c r="G13" i="10"/>
  <c r="G12" i="10"/>
  <c r="G11" i="10"/>
  <c r="G10" i="10"/>
  <c r="G9" i="10"/>
  <c r="G8" i="10"/>
  <c r="G7" i="10"/>
  <c r="G6" i="10"/>
  <c r="G5" i="10"/>
  <c r="G4" i="10"/>
</calcChain>
</file>

<file path=xl/sharedStrings.xml><?xml version="1.0" encoding="utf-8"?>
<sst xmlns="http://schemas.openxmlformats.org/spreadsheetml/2006/main" count="495" uniqueCount="197">
  <si>
    <t>Region</t>
  </si>
  <si>
    <t>Producto</t>
  </si>
  <si>
    <t>Vendedor</t>
  </si>
  <si>
    <t>Ventas</t>
  </si>
  <si>
    <t>Central</t>
  </si>
  <si>
    <t>Accesorios</t>
  </si>
  <si>
    <t>David</t>
  </si>
  <si>
    <t>Karen</t>
  </si>
  <si>
    <t>Dispositivos</t>
  </si>
  <si>
    <t>Sistemas</t>
  </si>
  <si>
    <t>Este</t>
  </si>
  <si>
    <t>Ana</t>
  </si>
  <si>
    <t>Lucas</t>
  </si>
  <si>
    <t>Oeste</t>
  </si>
  <si>
    <t>Kevin</t>
  </si>
  <si>
    <t>Sara</t>
  </si>
  <si>
    <t>Bicicletas Adventures MD</t>
  </si>
  <si>
    <t>Orden</t>
  </si>
  <si>
    <t>Numero de pieza</t>
  </si>
  <si>
    <t>Cantidad</t>
  </si>
  <si>
    <t>Fecha de orden</t>
  </si>
  <si>
    <t>Fecha de vencimiento</t>
  </si>
  <si>
    <t>HS-350</t>
  </si>
  <si>
    <t>HR-B66</t>
  </si>
  <si>
    <t>HS-351</t>
  </si>
  <si>
    <t>HR-B67</t>
  </si>
  <si>
    <t>HS-352</t>
  </si>
  <si>
    <t>HR-B68</t>
  </si>
  <si>
    <t>HS-353</t>
  </si>
  <si>
    <t>HR-B69</t>
  </si>
  <si>
    <t>HS-354</t>
  </si>
  <si>
    <t>HR-B70</t>
  </si>
  <si>
    <t>HS-355</t>
  </si>
  <si>
    <t>HR-B71</t>
  </si>
  <si>
    <t>HS-356</t>
  </si>
  <si>
    <t>HR-B72</t>
  </si>
  <si>
    <t>HS-357</t>
  </si>
  <si>
    <t>HR-B73</t>
  </si>
  <si>
    <t>HS-358</t>
  </si>
  <si>
    <t>HR-B74</t>
  </si>
  <si>
    <t>Piezas pendientes</t>
  </si>
  <si>
    <t>Ubicación</t>
  </si>
  <si>
    <t>Director</t>
  </si>
  <si>
    <t>Especialidad</t>
  </si>
  <si>
    <t>Costo unitario</t>
  </si>
  <si>
    <t>Unidades producidas</t>
  </si>
  <si>
    <t>Maximo de unidades</t>
  </si>
  <si>
    <t>México</t>
  </si>
  <si>
    <t>El Salvador</t>
  </si>
  <si>
    <t>Nicaragua</t>
  </si>
  <si>
    <t>Costa Rica</t>
  </si>
  <si>
    <t>Colombia</t>
  </si>
  <si>
    <t>Peru</t>
  </si>
  <si>
    <t>Venezuela</t>
  </si>
  <si>
    <t>Rodolfo Castro</t>
  </si>
  <si>
    <t>Diego Cazares</t>
  </si>
  <si>
    <t>Lucia Zeledon</t>
  </si>
  <si>
    <t>Mike Matamoros</t>
  </si>
  <si>
    <t>Miguel Seminario</t>
  </si>
  <si>
    <t>Angie Gil Hurtado</t>
  </si>
  <si>
    <t>Ernesto Landa</t>
  </si>
  <si>
    <t>Perfilado</t>
  </si>
  <si>
    <t>Cromado</t>
  </si>
  <si>
    <t>Pintura</t>
  </si>
  <si>
    <t>Pintura especial</t>
  </si>
  <si>
    <t>Ensamblaje</t>
  </si>
  <si>
    <t>Subensamblaje</t>
  </si>
  <si>
    <t>Ensamblaje final</t>
  </si>
  <si>
    <t>Exam Result</t>
  </si>
  <si>
    <t>Nombre</t>
  </si>
  <si>
    <t>Seccion</t>
  </si>
  <si>
    <t>Exam 1</t>
  </si>
  <si>
    <t>Exam 2</t>
  </si>
  <si>
    <t>Exam 3</t>
  </si>
  <si>
    <t>Exam 4</t>
  </si>
  <si>
    <t>Best Result</t>
  </si>
  <si>
    <t>Nina Sunset</t>
  </si>
  <si>
    <t>A</t>
  </si>
  <si>
    <t>Sou Min</t>
  </si>
  <si>
    <t>B</t>
  </si>
  <si>
    <t>Humberto Acevedo</t>
  </si>
  <si>
    <t>Victor Castro</t>
  </si>
  <si>
    <t>Gustavo Chong</t>
  </si>
  <si>
    <t>Ken Sutton</t>
  </si>
  <si>
    <t>Garcìa Molina</t>
  </si>
  <si>
    <t>Aspe Andreu</t>
  </si>
  <si>
    <t>Ching Vhu Ling</t>
  </si>
  <si>
    <t>Monopoly</t>
  </si>
  <si>
    <t>Pac mhan</t>
  </si>
  <si>
    <t>Perez Rodesno</t>
  </si>
  <si>
    <t>Mario Li</t>
  </si>
  <si>
    <t>Blandino Nerios</t>
  </si>
  <si>
    <t>Min Young</t>
  </si>
  <si>
    <t>Min Suite</t>
  </si>
  <si>
    <t>John Smits</t>
  </si>
  <si>
    <t>Jay Adams</t>
  </si>
  <si>
    <t>Gim Burton</t>
  </si>
  <si>
    <t>Buter Joseph</t>
  </si>
  <si>
    <t>Keny Loggins</t>
  </si>
  <si>
    <t>Walter CL</t>
  </si>
  <si>
    <t>CLIENTE</t>
  </si>
  <si>
    <t>CÓDIGO TRATAMIENTO</t>
  </si>
  <si>
    <t>TRATAMIENTO</t>
  </si>
  <si>
    <t>PRECIO</t>
  </si>
  <si>
    <t>DESCUENTO</t>
  </si>
  <si>
    <t>TOTAL COBRADO</t>
  </si>
  <si>
    <t>B-18</t>
  </si>
  <si>
    <t>SV011601</t>
  </si>
  <si>
    <t>Cacahua</t>
  </si>
  <si>
    <t>A-19</t>
  </si>
  <si>
    <t>SV012601</t>
  </si>
  <si>
    <t>B-11</t>
  </si>
  <si>
    <t>SV008201</t>
  </si>
  <si>
    <t>Chocoterapia</t>
  </si>
  <si>
    <t>D-15</t>
  </si>
  <si>
    <t>SV010901</t>
  </si>
  <si>
    <t>A-12</t>
  </si>
  <si>
    <t>SV020401</t>
  </si>
  <si>
    <t>A-14</t>
  </si>
  <si>
    <t>SV002901</t>
  </si>
  <si>
    <t>Con Tequila</t>
  </si>
  <si>
    <t>D-13</t>
  </si>
  <si>
    <t>SV006801</t>
  </si>
  <si>
    <t>Envolvente De Aguacate Con Yogurt</t>
  </si>
  <si>
    <t>A-18</t>
  </si>
  <si>
    <t>SV010101</t>
  </si>
  <si>
    <t>Envolvente Desintoxicante</t>
  </si>
  <si>
    <t>D-20</t>
  </si>
  <si>
    <t>SV017401</t>
  </si>
  <si>
    <t>B-14</t>
  </si>
  <si>
    <t>SV006301</t>
  </si>
  <si>
    <t>Heavenly Body</t>
  </si>
  <si>
    <t>B-10</t>
  </si>
  <si>
    <t>SV004101</t>
  </si>
  <si>
    <t>Hieloterapia</t>
  </si>
  <si>
    <t>D-11</t>
  </si>
  <si>
    <t>SV005701</t>
  </si>
  <si>
    <t>Hipertermia</t>
  </si>
  <si>
    <t>A-11</t>
  </si>
  <si>
    <t>SV007601</t>
  </si>
  <si>
    <t>A-20</t>
  </si>
  <si>
    <t>SV008001</t>
  </si>
  <si>
    <t>D-10</t>
  </si>
  <si>
    <t>SV012201</t>
  </si>
  <si>
    <t>SV016701</t>
  </si>
  <si>
    <t>Modelaje</t>
  </si>
  <si>
    <t>D-12</t>
  </si>
  <si>
    <t>SV020101</t>
  </si>
  <si>
    <t>SV020501</t>
  </si>
  <si>
    <t>SV009801</t>
  </si>
  <si>
    <t>Relajante (No Recuerda Bien El Nombre)</t>
  </si>
  <si>
    <t>C-16</t>
  </si>
  <si>
    <t>SV017101</t>
  </si>
  <si>
    <t>B-19</t>
  </si>
  <si>
    <t>SV005901</t>
  </si>
  <si>
    <t>Ritual Azul Turquesa</t>
  </si>
  <si>
    <t>D-14</t>
  </si>
  <si>
    <t>SV016501</t>
  </si>
  <si>
    <t>SV010301</t>
  </si>
  <si>
    <t>Ritual Esencial Del Mar</t>
  </si>
  <si>
    <t>A-15</t>
  </si>
  <si>
    <t>SV016601</t>
  </si>
  <si>
    <t>Velo De Novia (Exfoliacion Corporal)</t>
  </si>
  <si>
    <t>B-17</t>
  </si>
  <si>
    <t>SV008301</t>
  </si>
  <si>
    <t>B-16</t>
  </si>
  <si>
    <t>SV015701</t>
  </si>
  <si>
    <t>B-15</t>
  </si>
  <si>
    <t>SV015601</t>
  </si>
  <si>
    <t>De Algas Desintoxicantes</t>
  </si>
  <si>
    <t>SV015801</t>
  </si>
  <si>
    <t>D-18</t>
  </si>
  <si>
    <t>SV007401</t>
  </si>
  <si>
    <t>D-17</t>
  </si>
  <si>
    <t>SV009001</t>
  </si>
  <si>
    <t>SI</t>
  </si>
  <si>
    <t>Total con Descuento SI</t>
  </si>
  <si>
    <t>Precio</t>
  </si>
  <si>
    <t>Cerveza Northwind Traders</t>
  </si>
  <si>
    <t>Ciruelas pasas Northwind Traders</t>
  </si>
  <si>
    <t>Peras secas Northwind Traders</t>
  </si>
  <si>
    <t>Manzanas secas Northwind Traders</t>
  </si>
  <si>
    <t>Té Chai Northwind Traders</t>
  </si>
  <si>
    <t>Café Northwind Traders</t>
  </si>
  <si>
    <t>Galletas de chocolate surtidas Northwind Traders</t>
  </si>
  <si>
    <t>Chocolate Northwind Traders</t>
  </si>
  <si>
    <t>Sopa de almejas Northwind Traders</t>
  </si>
  <si>
    <t>Salsa curry Northwind Traders</t>
  </si>
  <si>
    <t>Té verde Northwind Traders</t>
  </si>
  <si>
    <t>Mermelada de moras y frambuesas Northwind Traders</t>
  </si>
  <si>
    <t>Condimentos de Louisiana Northwind Traders</t>
  </si>
  <si>
    <t>Carne de cangrejo Northwind Traders</t>
  </si>
  <si>
    <t>Ravioli Northwind Traders</t>
  </si>
  <si>
    <t>Exportación MD Contoso</t>
  </si>
  <si>
    <t>Etiquetas de fila</t>
  </si>
  <si>
    <t>Suma de PRECIO</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</si>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</sst>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
  </numFmts>
  <fonts count="11" x14ac:knownFonts="1">
    <font>
      <sz val="11"/>
      <color theme="1"/>
      <name val="Aptos Narrow"/>
      <family val="2"/>
      <scheme val="minor"/>
    </font>
    <font>
      <sz val="11"/>
      <color theme="1"/>
      <name val="Aptos Narrow"/>
      <family val="2"/>
      <scheme val="minor"/>
    </font>
    <font>
      <b/>
      <sz val="13"/>
      <color theme="3"/>
      <name val="Aptos Narrow"/>
      <family val="2"/>
      <scheme val="minor"/>
    </font>
    <font>
      <b/>
      <sz val="11"/>
      <color theme="3"/>
      <name val="Aptos Narrow"/>
      <family val="2"/>
      <scheme val="minor"/>
    </font>
    <font>
      <sz val="11"/>
      <color rgb="FFFA7D00"/>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4"/>
      <color theme="1"/>
      <name val="Aptos Narrow"/>
      <family val="2"/>
      <scheme val="minor"/>
    </font>
    <font>
      <b/>
      <sz val="16"/>
      <color theme="3"/>
      <name val="Aptos Narrow"/>
      <family val="2"/>
      <scheme val="minor"/>
    </font>
    <font>
      <sz val="16"/>
      <color theme="1"/>
      <name val="Aptos Narrow"/>
      <family val="2"/>
      <scheme val="minor"/>
    </font>
  </fonts>
  <fills count="9">
    <fill>
      <patternFill patternType="none"/>
    </fill>
    <fill>
      <patternFill patternType="gray125"/>
    </fill>
    <fill>
      <patternFill patternType="solid">
        <fgColor theme="9" tint="0.39997558519241921"/>
        <bgColor indexed="65"/>
      </patternFill>
    </fill>
    <fill>
      <patternFill patternType="solid">
        <fgColor rgb="FFFFC000"/>
        <bgColor indexed="64"/>
      </patternFill>
    </fill>
    <fill>
      <patternFill patternType="solid">
        <fgColor theme="8" tint="-0.249977111117893"/>
        <bgColor indexed="64"/>
      </patternFill>
    </fill>
    <fill>
      <patternFill patternType="solid">
        <fgColor theme="4"/>
        <bgColor theme="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4" tint="0.39997558519241921"/>
        <bgColor indexed="64"/>
      </patternFill>
    </fill>
  </fills>
  <borders count="17">
    <border>
      <left/>
      <right/>
      <top/>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style="thin">
        <color theme="4"/>
      </right>
      <top style="thin">
        <color theme="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xf numFmtId="44"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1" fillId="2" borderId="0" applyNumberFormat="0" applyBorder="0" applyAlignment="0" applyProtection="0"/>
  </cellStyleXfs>
  <cellXfs count="41">
    <xf numFmtId="0" fontId="0" fillId="0" borderId="0" xfId="0"/>
    <xf numFmtId="0" fontId="0" fillId="0" borderId="5" xfId="0" applyBorder="1"/>
    <xf numFmtId="0" fontId="0" fillId="0" borderId="5" xfId="0" applyBorder="1" applyAlignment="1">
      <alignment horizontal="left" indent="1"/>
    </xf>
    <xf numFmtId="0" fontId="0" fillId="0" borderId="6" xfId="0" applyBorder="1"/>
    <xf numFmtId="0" fontId="0" fillId="0" borderId="6" xfId="0" applyBorder="1" applyAlignment="1">
      <alignment horizontal="left" indent="1"/>
    </xf>
    <xf numFmtId="0" fontId="4" fillId="0" borderId="7" xfId="4" applyBorder="1" applyAlignment="1">
      <alignment horizontal="center" vertical="center"/>
    </xf>
    <xf numFmtId="0" fontId="4" fillId="0" borderId="8" xfId="4" applyBorder="1" applyAlignment="1">
      <alignment horizontal="center" vertical="center"/>
    </xf>
    <xf numFmtId="0" fontId="4" fillId="0" borderId="9" xfId="4" applyBorder="1" applyAlignment="1">
      <alignment horizontal="center" vertical="center"/>
    </xf>
    <xf numFmtId="14" fontId="0" fillId="0" borderId="6" xfId="0" applyNumberFormat="1" applyBorder="1"/>
    <xf numFmtId="14" fontId="0" fillId="0" borderId="5" xfId="0" applyNumberFormat="1" applyBorder="1"/>
    <xf numFmtId="0" fontId="0" fillId="3" borderId="0" xfId="0" applyFill="1"/>
    <xf numFmtId="0" fontId="2" fillId="0" borderId="0" xfId="2" applyBorder="1"/>
    <xf numFmtId="44" fontId="0" fillId="0" borderId="5" xfId="0" applyNumberFormat="1" applyBorder="1"/>
    <xf numFmtId="0" fontId="9" fillId="0" borderId="2" xfId="3" applyFont="1"/>
    <xf numFmtId="0" fontId="5" fillId="4" borderId="0" xfId="0" applyFont="1" applyFill="1" applyAlignment="1">
      <alignment horizontal="center" vertical="center"/>
    </xf>
    <xf numFmtId="0" fontId="5" fillId="5" borderId="10" xfId="0" applyFont="1" applyFill="1" applyBorder="1"/>
    <xf numFmtId="0" fontId="5" fillId="5" borderId="11" xfId="0" applyFont="1" applyFill="1" applyBorder="1"/>
    <xf numFmtId="0" fontId="0" fillId="0" borderId="12" xfId="0" applyBorder="1" applyAlignment="1">
      <alignment horizontal="center"/>
    </xf>
    <xf numFmtId="0" fontId="0" fillId="0" borderId="12" xfId="0" applyBorder="1"/>
    <xf numFmtId="44" fontId="0" fillId="0" borderId="12" xfId="1" applyFont="1" applyBorder="1"/>
    <xf numFmtId="44" fontId="6" fillId="0" borderId="13" xfId="1" applyFont="1" applyBorder="1"/>
    <xf numFmtId="0" fontId="0" fillId="0" borderId="12" xfId="0" applyBorder="1" applyAlignment="1">
      <alignment horizontal="center" vertical="center"/>
    </xf>
    <xf numFmtId="0" fontId="0" fillId="0" borderId="12" xfId="0" applyBorder="1" applyAlignment="1">
      <alignment vertical="center"/>
    </xf>
    <xf numFmtId="44" fontId="0" fillId="0" borderId="12" xfId="1" applyFont="1" applyBorder="1" applyAlignment="1">
      <alignment vertical="center"/>
    </xf>
    <xf numFmtId="44" fontId="6" fillId="0" borderId="13" xfId="1" applyFont="1" applyBorder="1" applyAlignment="1">
      <alignment vertical="center"/>
    </xf>
    <xf numFmtId="44" fontId="0" fillId="0" borderId="0" xfId="0" applyNumberFormat="1" applyAlignment="1">
      <alignment horizontal="center"/>
    </xf>
    <xf numFmtId="0" fontId="0" fillId="0" borderId="0" xfId="0" applyAlignment="1">
      <alignment horizontal="left"/>
    </xf>
    <xf numFmtId="0" fontId="6" fillId="2" borderId="4" xfId="5" applyFont="1" applyBorder="1" applyAlignment="1">
      <alignment horizontal="center" vertical="center"/>
    </xf>
    <xf numFmtId="0" fontId="6" fillId="2" borderId="10" xfId="5" applyFont="1" applyBorder="1" applyAlignment="1">
      <alignment horizontal="center" vertical="center"/>
    </xf>
    <xf numFmtId="0" fontId="0" fillId="0" borderId="5" xfId="0" applyBorder="1" applyAlignment="1">
      <alignment horizontal="left"/>
    </xf>
    <xf numFmtId="44" fontId="0" fillId="0" borderId="5" xfId="0" applyNumberFormat="1" applyBorder="1" applyAlignment="1">
      <alignment horizontal="center"/>
    </xf>
    <xf numFmtId="0" fontId="0" fillId="0" borderId="0" xfId="0" pivotButton="1"/>
    <xf numFmtId="0" fontId="5" fillId="8" borderId="0" xfId="0" applyFont="1" applyFill="1" applyAlignment="1">
      <alignment horizontal="center" vertical="center"/>
    </xf>
    <xf numFmtId="164" fontId="0" fillId="0" borderId="0" xfId="0" applyNumberFormat="1"/>
    <xf numFmtId="0" fontId="8" fillId="0" borderId="0" xfId="0" applyFont="1" applyAlignment="1">
      <alignment horizontal="center" vertical="center"/>
    </xf>
    <xf numFmtId="0" fontId="9" fillId="0" borderId="5" xfId="3"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6" borderId="16" xfId="0" applyFill="1" applyBorder="1" applyAlignment="1">
      <alignment horizontal="center"/>
    </xf>
    <xf numFmtId="0" fontId="0" fillId="6" borderId="6" xfId="0" applyFill="1" applyBorder="1" applyAlignment="1">
      <alignment horizontal="center"/>
    </xf>
    <xf numFmtId="0" fontId="10" fillId="7" borderId="5" xfId="0" applyFont="1" applyFill="1" applyBorder="1" applyAlignment="1">
      <alignment horizontal="center" vertical="center"/>
    </xf>
  </cellXfs>
  <cellStyles count="6">
    <cellStyle name="60% - Énfasis6" xfId="5" builtinId="52"/>
    <cellStyle name="Celda vinculada" xfId="4" builtinId="24"/>
    <cellStyle name="Moneda" xfId="1" builtinId="4"/>
    <cellStyle name="Normal" xfId="0" builtinId="0"/>
    <cellStyle name="Título 2" xfId="2" builtinId="17"/>
    <cellStyle name="Título 3" xfId="3" builtinId="18"/>
  </cellStyles>
  <dxfs count="3">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[Reporte_de_Ventas.xlsx]Analisis!TablaDinámica2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SV"/>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Analisis!$B$3</c:f>
              <c:strCache>
                <c:ptCount val="1"/>
                <c:pt idx="0">
                  <c:v>Total</c:v>
                </c:pt>
              </c:strCache>
            </c:strRef>
          </c:tx>
          <c:spPr>
            <a:solidFill>
              <a:schemeClr val="accent1"/>
            </a:solidFill>
            <a:ln>
              <a:noFill/>
            </a:ln>
            <a:effectLst/>
          </c:spPr>
          <c:invertIfNegative val="0"/>
          <c:cat>
            <c:strRef>
              <c:f>Analisis!$A$4:$A$18</c:f>
              <c:strCache>
                <c:ptCount val="14"/>
                <c:pt idx="0">
                  <c:v>Cacahua</c:v>
                </c:pt>
                <c:pt idx="1">
                  <c:v>Chocoterapia</c:v>
                </c:pt>
                <c:pt idx="2">
                  <c:v>Con Tequila</c:v>
                </c:pt>
                <c:pt idx="3">
                  <c:v>De Algas Desintoxicantes</c:v>
                </c:pt>
                <c:pt idx="4">
                  <c:v>Envolvente De Aguacate Con Yogurt</c:v>
                </c:pt>
                <c:pt idx="5">
                  <c:v>Envolvente Desintoxicante</c:v>
                </c:pt>
                <c:pt idx="6">
                  <c:v>Heavenly Body</c:v>
                </c:pt>
                <c:pt idx="7">
                  <c:v>Hieloterapia</c:v>
                </c:pt>
                <c:pt idx="8">
                  <c:v>Hipertermia</c:v>
                </c:pt>
                <c:pt idx="9">
                  <c:v>Modelaje</c:v>
                </c:pt>
                <c:pt idx="10">
                  <c:v>Relajante (No Recuerda Bien El Nombre)</c:v>
                </c:pt>
                <c:pt idx="11">
                  <c:v>Ritual Azul Turquesa</c:v>
                </c:pt>
                <c:pt idx="12">
                  <c:v>Ritual Esencial Del Mar</c:v>
                </c:pt>
                <c:pt idx="13">
                  <c:v>Velo De Novia (Exfoliacion Corporal)</c:v>
                </c:pt>
              </c:strCache>
            </c:strRef>
          </c:cat>
          <c:val>
            <c:numRef>
              <c:f>Analisis!$B$4:$B$18</c:f>
              <c:numCache>
                <c:formatCode>General</c:formatCode>
                <c:ptCount val="14"/>
                <c:pt idx="0">
                  <c:v>504</c:v>
                </c:pt>
                <c:pt idx="1">
                  <c:v>736</c:v>
                </c:pt>
                <c:pt idx="2">
                  <c:v>146</c:v>
                </c:pt>
                <c:pt idx="3">
                  <c:v>202</c:v>
                </c:pt>
                <c:pt idx="4">
                  <c:v>603</c:v>
                </c:pt>
                <c:pt idx="5">
                  <c:v>396</c:v>
                </c:pt>
                <c:pt idx="6">
                  <c:v>192</c:v>
                </c:pt>
                <c:pt idx="7">
                  <c:v>195</c:v>
                </c:pt>
                <c:pt idx="8">
                  <c:v>808</c:v>
                </c:pt>
                <c:pt idx="9">
                  <c:v>597</c:v>
                </c:pt>
                <c:pt idx="10">
                  <c:v>340</c:v>
                </c:pt>
                <c:pt idx="11">
                  <c:v>388</c:v>
                </c:pt>
                <c:pt idx="12">
                  <c:v>214</c:v>
                </c:pt>
                <c:pt idx="13">
                  <c:v>217</c:v>
                </c:pt>
              </c:numCache>
            </c:numRef>
          </c:val>
          <c:extLst>
            <c:ext xmlns:c16="http://schemas.microsoft.com/office/drawing/2014/chart" uri="{C3380CC4-5D6E-409C-BE32-E72D297353CC}">
              <c16:uniqueId val="{00000000-F31E-435C-A750-81FF14798C55}"/>
            </c:ext>
          </c:extLst>
        </c:ser>
        <c:dLbls>
          <c:showLegendKey val="0"/>
          <c:showVal val="0"/>
          <c:showCatName val="0"/>
          <c:showSerName val="0"/>
          <c:showPercent val="0"/>
          <c:showBubbleSize val="0"/>
        </c:dLbls>
        <c:gapWidth val="182"/>
        <c:axId val="889346975"/>
        <c:axId val="889347455"/>
      </c:barChart>
      <c:catAx>
        <c:axId val="88934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SV"/>
          </a:p>
        </c:txPr>
        <c:crossAx val="889347455"/>
        <c:crosses val="autoZero"/>
        <c:auto val="1"/>
        <c:lblAlgn val="ctr"/>
        <c:lblOffset val="100"/>
        <c:noMultiLvlLbl val="0"/>
      </c:catAx>
      <c:valAx>
        <c:axId val="8893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SV"/>
          </a:p>
        </c:txPr>
        <c:crossAx val="88934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SV"/>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SV"/>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19050</xdr:colOff>
      <xdr:row>0</xdr:row>
      <xdr:rowOff>95250</xdr:rowOff>
    </xdr:from>
    <xdr:to>
      <xdr:col>12</xdr:col>
      <xdr:colOff>71437</xdr:colOff>
      <xdr:row>7</xdr:row>
      <xdr:rowOff>15875</xdr:rowOff>
    </xdr:to>
    <xdr:sp macro="" textlink="">
      <xdr:nvSpPr>
        <xdr:cNvPr id="2" name="Rectángulo 1">
          <a:extLst>
            <a:ext uri="{FF2B5EF4-FFF2-40B4-BE49-F238E27FC236}">
              <a16:creationId xmlns:a16="http://schemas.microsoft.com/office/drawing/2014/main" id="{5308F467-45C2-0301-D9C4-CEA506C437C4}"/>
            </a:ext>
          </a:extLst>
        </xdr:cNvPr>
        <xdr:cNvSpPr/>
      </xdr:nvSpPr>
      <xdr:spPr>
        <a:xfrm>
          <a:off x="3836988" y="95250"/>
          <a:ext cx="5386387" cy="1254125"/>
        </a:xfrm>
        <a:prstGeom prst="rect">
          <a:avLst/>
        </a:prstGeom>
        <a:ln w="38100"/>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s-SV" sz="1200"/>
            <a:t>1. En la hoja</a:t>
          </a:r>
          <a:r>
            <a:rPr lang="es-SV" sz="1200" baseline="0"/>
            <a:t> Regiones , cree un gràfico </a:t>
          </a:r>
          <a:r>
            <a:rPr lang="es-SV" sz="1200" b="1" baseline="0">
              <a:solidFill>
                <a:srgbClr val="C00000"/>
              </a:solidFill>
            </a:rPr>
            <a:t>Histograma </a:t>
          </a:r>
          <a:r>
            <a:rPr lang="es-SV" sz="1200" baseline="0"/>
            <a:t>que muestre los valores de:  la columna </a:t>
          </a:r>
          <a:r>
            <a:rPr lang="es-SV" sz="1200" b="1" baseline="0">
              <a:solidFill>
                <a:srgbClr val="C00000"/>
              </a:solidFill>
            </a:rPr>
            <a:t>Ventas , verificar que los anchos de rangos no se modifiquen ,  </a:t>
          </a:r>
          <a:r>
            <a:rPr lang="es-SV" sz="1200" b="1" baseline="0">
              <a:solidFill>
                <a:sysClr val="windowText" lastClr="000000"/>
              </a:solidFill>
            </a:rPr>
            <a:t>muestre el grafico para </a:t>
          </a:r>
          <a:r>
            <a:rPr lang="es-SV" sz="1200" b="1" baseline="0">
              <a:solidFill>
                <a:srgbClr val="FF0000"/>
              </a:solidFill>
            </a:rPr>
            <a:t>desbordar rango </a:t>
          </a:r>
          <a:r>
            <a:rPr lang="es-SV" sz="1200" b="1" baseline="0">
              <a:solidFill>
                <a:sysClr val="windowText" lastClr="000000"/>
              </a:solidFill>
            </a:rPr>
            <a:t>para los valores </a:t>
          </a:r>
          <a:r>
            <a:rPr lang="es-SV" sz="1200" b="1" baseline="0">
              <a:solidFill>
                <a:srgbClr val="FF0000"/>
              </a:solidFill>
            </a:rPr>
            <a:t>superiores a: 25000 .</a:t>
          </a:r>
        </a:p>
        <a:p>
          <a:pPr algn="l"/>
          <a:r>
            <a:rPr lang="es-SV" sz="1200" b="1" baseline="0">
              <a:solidFill>
                <a:srgbClr val="FF0000"/>
              </a:solidFill>
            </a:rPr>
            <a:t> </a:t>
          </a:r>
          <a:r>
            <a:rPr lang="es-SV" sz="1200" baseline="0">
              <a:solidFill>
                <a:schemeClr val="dk1"/>
              </a:solidFill>
              <a:latin typeface="+mn-lt"/>
              <a:ea typeface="+mn-ea"/>
              <a:cs typeface="+mn-cs"/>
            </a:rPr>
            <a:t>Aplique formato a los numeros del rango de forma que se muestren con  0 decimales , mantener el resto de valores de manera predeterminada el tamaño y ubicación del gràfico no son relevantes.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885825</xdr:colOff>
      <xdr:row>0</xdr:row>
      <xdr:rowOff>42627</xdr:rowOff>
    </xdr:from>
    <xdr:to>
      <xdr:col>4</xdr:col>
      <xdr:colOff>495300</xdr:colOff>
      <xdr:row>1</xdr:row>
      <xdr:rowOff>76199</xdr:rowOff>
    </xdr:to>
    <xdr:pic>
      <xdr:nvPicPr>
        <xdr:cNvPr id="3" name="Gráfico 2" descr="Ciclismo con relleno sólido">
          <a:extLst>
            <a:ext uri="{FF2B5EF4-FFF2-40B4-BE49-F238E27FC236}">
              <a16:creationId xmlns:a16="http://schemas.microsoft.com/office/drawing/2014/main" id="{A7953A64-5C1C-6503-30D0-309369F00C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467100" y="42627"/>
          <a:ext cx="571500" cy="271697"/>
        </a:xfrm>
        <a:prstGeom prst="rect">
          <a:avLst/>
        </a:prstGeom>
      </xdr:spPr>
    </xdr:pic>
    <xdr:clientData/>
  </xdr:twoCellAnchor>
  <xdr:twoCellAnchor>
    <xdr:from>
      <xdr:col>7</xdr:col>
      <xdr:colOff>323850</xdr:colOff>
      <xdr:row>2</xdr:row>
      <xdr:rowOff>19050</xdr:rowOff>
    </xdr:from>
    <xdr:to>
      <xdr:col>13</xdr:col>
      <xdr:colOff>714375</xdr:colOff>
      <xdr:row>6</xdr:row>
      <xdr:rowOff>171450</xdr:rowOff>
    </xdr:to>
    <xdr:sp macro="" textlink="">
      <xdr:nvSpPr>
        <xdr:cNvPr id="4" name="Rectángulo 3">
          <a:extLst>
            <a:ext uri="{FF2B5EF4-FFF2-40B4-BE49-F238E27FC236}">
              <a16:creationId xmlns:a16="http://schemas.microsoft.com/office/drawing/2014/main" id="{1DDD28E1-529C-4D7B-AC9A-56EE7CE13634}"/>
            </a:ext>
          </a:extLst>
        </xdr:cNvPr>
        <xdr:cNvSpPr/>
      </xdr:nvSpPr>
      <xdr:spPr>
        <a:xfrm>
          <a:off x="7105650" y="457200"/>
          <a:ext cx="4962525" cy="923925"/>
        </a:xfrm>
        <a:prstGeom prst="rect">
          <a:avLst/>
        </a:prstGeom>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s-SV" sz="1400"/>
            <a:t>2. En</a:t>
          </a:r>
          <a:r>
            <a:rPr lang="es-SV" sz="1400" baseline="0"/>
            <a:t> la hoja Bicicletas , en la cleda G3 revise la formula para mostrar la cantidad total de piezas que tienen una fecha de vencimiento anterior a la fecha actual. No incluir la fecha actual</a:t>
          </a:r>
          <a:endParaRPr lang="es-SV" sz="1400" baseline="0">
            <a:solidFill>
              <a:schemeClr val="dk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885825</xdr:colOff>
      <xdr:row>0</xdr:row>
      <xdr:rowOff>42627</xdr:rowOff>
    </xdr:from>
    <xdr:to>
      <xdr:col>4</xdr:col>
      <xdr:colOff>428625</xdr:colOff>
      <xdr:row>1</xdr:row>
      <xdr:rowOff>123824</xdr:rowOff>
    </xdr:to>
    <xdr:pic>
      <xdr:nvPicPr>
        <xdr:cNvPr id="2" name="Gráfico 1" descr="Ciclismo con relleno sólido">
          <a:extLst>
            <a:ext uri="{FF2B5EF4-FFF2-40B4-BE49-F238E27FC236}">
              <a16:creationId xmlns:a16="http://schemas.microsoft.com/office/drawing/2014/main" id="{BF376759-F7D0-4DBA-813B-B82B25A74F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467100" y="42627"/>
          <a:ext cx="571500" cy="271697"/>
        </a:xfrm>
        <a:prstGeom prst="rect">
          <a:avLst/>
        </a:prstGeom>
      </xdr:spPr>
    </xdr:pic>
    <xdr:clientData/>
  </xdr:twoCellAnchor>
  <xdr:twoCellAnchor>
    <xdr:from>
      <xdr:col>6</xdr:col>
      <xdr:colOff>666750</xdr:colOff>
      <xdr:row>2</xdr:row>
      <xdr:rowOff>123825</xdr:rowOff>
    </xdr:from>
    <xdr:to>
      <xdr:col>14</xdr:col>
      <xdr:colOff>571500</xdr:colOff>
      <xdr:row>9</xdr:row>
      <xdr:rowOff>38099</xdr:rowOff>
    </xdr:to>
    <xdr:sp macro="" textlink="">
      <xdr:nvSpPr>
        <xdr:cNvPr id="3" name="Rectángulo 2">
          <a:extLst>
            <a:ext uri="{FF2B5EF4-FFF2-40B4-BE49-F238E27FC236}">
              <a16:creationId xmlns:a16="http://schemas.microsoft.com/office/drawing/2014/main" id="{79A77911-2C33-4553-AC5F-21942D92D04F}"/>
            </a:ext>
          </a:extLst>
        </xdr:cNvPr>
        <xdr:cNvSpPr/>
      </xdr:nvSpPr>
      <xdr:spPr>
        <a:xfrm>
          <a:off x="7610475" y="552450"/>
          <a:ext cx="6000750" cy="1276349"/>
        </a:xfrm>
        <a:prstGeom prst="rect">
          <a:avLst/>
        </a:prstGeom>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s-SV" sz="1400"/>
            <a:t>3. En la</a:t>
          </a:r>
          <a:r>
            <a:rPr lang="es-SV" sz="1400" baseline="0"/>
            <a:t> hoja Zonas, cree un grafico que muestre "Unidades de producción" en cada ubicación como columna agruapada y el "Maximo de unidades" en cada ubicación como un grafico de lineas con marcadores en el mismo gràfico  Muestre las ciudades de Ubicación como etiquetas  del eje horizontal. El tamaño y posición del gráfico no son revelantes.</a:t>
          </a:r>
          <a:endParaRPr lang="es-SV" sz="1400" baseline="0">
            <a:solidFill>
              <a:schemeClr val="dk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628650</xdr:colOff>
      <xdr:row>2</xdr:row>
      <xdr:rowOff>57150</xdr:rowOff>
    </xdr:from>
    <xdr:to>
      <xdr:col>15</xdr:col>
      <xdr:colOff>533400</xdr:colOff>
      <xdr:row>8</xdr:row>
      <xdr:rowOff>190499</xdr:rowOff>
    </xdr:to>
    <xdr:sp macro="" textlink="">
      <xdr:nvSpPr>
        <xdr:cNvPr id="2" name="Rectángulo 1">
          <a:extLst>
            <a:ext uri="{FF2B5EF4-FFF2-40B4-BE49-F238E27FC236}">
              <a16:creationId xmlns:a16="http://schemas.microsoft.com/office/drawing/2014/main" id="{C6A29B3B-0786-4836-BE2D-977C7641D126}"/>
            </a:ext>
          </a:extLst>
        </xdr:cNvPr>
        <xdr:cNvSpPr/>
      </xdr:nvSpPr>
      <xdr:spPr>
        <a:xfrm>
          <a:off x="5038725" y="514350"/>
          <a:ext cx="6000750" cy="1276349"/>
        </a:xfrm>
        <a:prstGeom prst="rect">
          <a:avLst/>
        </a:prstGeom>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s-SV" sz="1400"/>
            <a:t>4. En la hoja Resultados</a:t>
          </a:r>
          <a:r>
            <a:rPr lang="es-SV" sz="1400" baseline="0"/>
            <a:t> , en la columna Best Result modifique la regla de formato condicional aplicada a las 3 mayores notas. Cambie el estilo de fuente negrita y color </a:t>
          </a:r>
          <a:r>
            <a:rPr lang="es-SV" sz="1400" b="1" baseline="0">
              <a:solidFill>
                <a:schemeClr val="accent6">
                  <a:lumMod val="75000"/>
                </a:schemeClr>
              </a:solidFill>
            </a:rPr>
            <a:t>Verde enfasis 6, oscuro al  25% de la paleta de colores del tema. </a:t>
          </a:r>
          <a:r>
            <a:rPr lang="es-SV" sz="1400">
              <a:solidFill>
                <a:schemeClr val="dk1"/>
              </a:solidFill>
              <a:latin typeface="+mn-lt"/>
              <a:ea typeface="+mn-ea"/>
              <a:cs typeface="+mn-cs"/>
            </a:rPr>
            <a:t>No existe necesidad de crear nuevas reglas ni eliminar las existentes.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180974</xdr:colOff>
      <xdr:row>1</xdr:row>
      <xdr:rowOff>9525</xdr:rowOff>
    </xdr:from>
    <xdr:to>
      <xdr:col>15</xdr:col>
      <xdr:colOff>114299</xdr:colOff>
      <xdr:row>7</xdr:row>
      <xdr:rowOff>142874</xdr:rowOff>
    </xdr:to>
    <xdr:sp macro="" textlink="">
      <xdr:nvSpPr>
        <xdr:cNvPr id="2" name="Rectángulo 1">
          <a:extLst>
            <a:ext uri="{FF2B5EF4-FFF2-40B4-BE49-F238E27FC236}">
              <a16:creationId xmlns:a16="http://schemas.microsoft.com/office/drawing/2014/main" id="{E020A1A3-25C1-4BD9-8AD8-25D51554C0C2}"/>
            </a:ext>
          </a:extLst>
        </xdr:cNvPr>
        <xdr:cNvSpPr/>
      </xdr:nvSpPr>
      <xdr:spPr>
        <a:xfrm>
          <a:off x="9515474" y="200025"/>
          <a:ext cx="4505325" cy="1276349"/>
        </a:xfrm>
        <a:prstGeom prst="rect">
          <a:avLst/>
        </a:prstGeom>
        <a:ln w="38100"/>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s-SV" sz="1400"/>
            <a:t>5. En la hoja</a:t>
          </a:r>
          <a:r>
            <a:rPr lang="es-SV" sz="1400" baseline="0"/>
            <a:t> Tratamientos , en celda H3 escriba una formula que devuelva la cantidad de Total Cobrado que estan marcados como SI en columna Descuento.</a:t>
          </a:r>
          <a:endParaRPr lang="es-SV" sz="1400">
            <a:solidFill>
              <a:schemeClr val="dk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3124199</xdr:colOff>
      <xdr:row>0</xdr:row>
      <xdr:rowOff>0</xdr:rowOff>
    </xdr:from>
    <xdr:to>
      <xdr:col>1</xdr:col>
      <xdr:colOff>285749</xdr:colOff>
      <xdr:row>2</xdr:row>
      <xdr:rowOff>104775</xdr:rowOff>
    </xdr:to>
    <xdr:pic>
      <xdr:nvPicPr>
        <xdr:cNvPr id="3" name="Gráfico 2" descr="Globo terráqueo: América con relleno sólido">
          <a:extLst>
            <a:ext uri="{FF2B5EF4-FFF2-40B4-BE49-F238E27FC236}">
              <a16:creationId xmlns:a16="http://schemas.microsoft.com/office/drawing/2014/main" id="{51D8F076-5CEA-D333-F43C-A35E992259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24199" y="0"/>
          <a:ext cx="485775" cy="485775"/>
        </a:xfrm>
        <a:prstGeom prst="rect">
          <a:avLst/>
        </a:prstGeom>
      </xdr:spPr>
    </xdr:pic>
    <xdr:clientData/>
  </xdr:twoCellAnchor>
  <xdr:twoCellAnchor>
    <xdr:from>
      <xdr:col>6</xdr:col>
      <xdr:colOff>0</xdr:colOff>
      <xdr:row>0</xdr:row>
      <xdr:rowOff>123826</xdr:rowOff>
    </xdr:from>
    <xdr:to>
      <xdr:col>13</xdr:col>
      <xdr:colOff>209550</xdr:colOff>
      <xdr:row>4</xdr:row>
      <xdr:rowOff>114301</xdr:rowOff>
    </xdr:to>
    <xdr:sp macro="" textlink="">
      <xdr:nvSpPr>
        <xdr:cNvPr id="4" name="Rectángulo 3">
          <a:extLst>
            <a:ext uri="{FF2B5EF4-FFF2-40B4-BE49-F238E27FC236}">
              <a16:creationId xmlns:a16="http://schemas.microsoft.com/office/drawing/2014/main" id="{9B774DB7-CF81-45DE-A76C-62D219252F1F}"/>
            </a:ext>
          </a:extLst>
        </xdr:cNvPr>
        <xdr:cNvSpPr/>
      </xdr:nvSpPr>
      <xdr:spPr>
        <a:xfrm>
          <a:off x="9401175" y="123826"/>
          <a:ext cx="5543550" cy="762000"/>
        </a:xfrm>
        <a:prstGeom prst="rect">
          <a:avLst/>
        </a:prstGeom>
        <a:ln w="57150"/>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s-SV" sz="1400"/>
            <a:t>6. En la hoja Exportación en la celda D5 esccriba una formula</a:t>
          </a:r>
          <a:r>
            <a:rPr lang="es-SV" sz="1400" baseline="0"/>
            <a:t> que muestre los datos</a:t>
          </a:r>
          <a:r>
            <a:rPr lang="es-SV" sz="1400"/>
            <a:t> de A5: B25 ordenados por Precio</a:t>
          </a:r>
          <a:r>
            <a:rPr lang="es-SV" sz="1400" baseline="0"/>
            <a:t> en orden descendente.</a:t>
          </a:r>
          <a:endParaRPr lang="es-SV" sz="1400">
            <a:solidFill>
              <a:schemeClr val="dk1"/>
            </a:solidFill>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180975</xdr:colOff>
      <xdr:row>2</xdr:row>
      <xdr:rowOff>80962</xdr:rowOff>
    </xdr:from>
    <xdr:to>
      <xdr:col>8</xdr:col>
      <xdr:colOff>180975</xdr:colOff>
      <xdr:row>16</xdr:row>
      <xdr:rowOff>157162</xdr:rowOff>
    </xdr:to>
    <xdr:graphicFrame macro="">
      <xdr:nvGraphicFramePr>
        <xdr:cNvPr id="2" name="Gráfico 1">
          <a:extLst>
            <a:ext uri="{FF2B5EF4-FFF2-40B4-BE49-F238E27FC236}">
              <a16:creationId xmlns:a16="http://schemas.microsoft.com/office/drawing/2014/main" id="{35A26FFF-EA23-6902-3EE7-3A4917293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466725</xdr:colOff>
      <xdr:row>1</xdr:row>
      <xdr:rowOff>142874</xdr:rowOff>
    </xdr:from>
    <xdr:to>
      <xdr:col>13</xdr:col>
      <xdr:colOff>457199</xdr:colOff>
      <xdr:row>5</xdr:row>
      <xdr:rowOff>152399</xdr:rowOff>
    </xdr:to>
    <xdr:sp macro="" textlink="">
      <xdr:nvSpPr>
        <xdr:cNvPr id="3" name="Rectángulo 2">
          <a:extLst>
            <a:ext uri="{FF2B5EF4-FFF2-40B4-BE49-F238E27FC236}">
              <a16:creationId xmlns:a16="http://schemas.microsoft.com/office/drawing/2014/main" id="{63EF20A1-5820-41FD-9C3D-E90594B19A2B}"/>
            </a:ext>
          </a:extLst>
        </xdr:cNvPr>
        <xdr:cNvSpPr/>
      </xdr:nvSpPr>
      <xdr:spPr>
        <a:xfrm>
          <a:off x="8648700" y="333374"/>
          <a:ext cx="3800474" cy="771525"/>
        </a:xfrm>
        <a:prstGeom prst="rect">
          <a:avLst/>
        </a:prstGeom>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s-SV" sz="1400">
              <a:solidFill>
                <a:schemeClr val="dk1"/>
              </a:solidFill>
              <a:latin typeface="+mn-lt"/>
              <a:ea typeface="+mn-ea"/>
              <a:cs typeface="+mn-cs"/>
            </a:rPr>
            <a:t>7. En</a:t>
          </a:r>
          <a:r>
            <a:rPr lang="es-SV" sz="1400" baseline="0">
              <a:solidFill>
                <a:schemeClr val="dk1"/>
              </a:solidFill>
              <a:latin typeface="+mn-lt"/>
              <a:ea typeface="+mn-ea"/>
              <a:cs typeface="+mn-cs"/>
            </a:rPr>
            <a:t> hoja Analisis configure el gràfico dinàmico para mostrar los botones de: Mostrar botones de campo de eje y  botones de campo de valor</a:t>
          </a:r>
          <a:endParaRPr lang="es-SV" sz="1400">
            <a:solidFill>
              <a:schemeClr val="dk1"/>
            </a:solidFill>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628650</xdr:colOff>
      <xdr:row>1</xdr:row>
      <xdr:rowOff>152401</xdr:rowOff>
    </xdr:from>
    <xdr:to>
      <xdr:col>15</xdr:col>
      <xdr:colOff>533400</xdr:colOff>
      <xdr:row>6</xdr:row>
      <xdr:rowOff>76201</xdr:rowOff>
    </xdr:to>
    <xdr:sp macro="" textlink="">
      <xdr:nvSpPr>
        <xdr:cNvPr id="2" name="Rectángulo 1">
          <a:extLst>
            <a:ext uri="{FF2B5EF4-FFF2-40B4-BE49-F238E27FC236}">
              <a16:creationId xmlns:a16="http://schemas.microsoft.com/office/drawing/2014/main" id="{A631F92C-C19C-461F-A734-F29D79F8626E}"/>
            </a:ext>
          </a:extLst>
        </xdr:cNvPr>
        <xdr:cNvSpPr/>
      </xdr:nvSpPr>
      <xdr:spPr>
        <a:xfrm>
          <a:off x="5962650" y="419101"/>
          <a:ext cx="6000750" cy="876300"/>
        </a:xfrm>
        <a:prstGeom prst="rect">
          <a:avLst/>
        </a:prstGeom>
        <a:ln w="57150"/>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s-SV" sz="1400"/>
            <a:t>8. En la hoja Notas</a:t>
          </a:r>
          <a:r>
            <a:rPr lang="es-SV" sz="1400" baseline="0"/>
            <a:t> , use una funcionalidad de Excel para agrupar todas las filas de la tabla  que tengan el valor A en  la columna de sección. Nota no cree ningun otro grupo en la hoja.</a:t>
          </a:r>
          <a:endParaRPr lang="es-SV" sz="1400">
            <a:solidFill>
              <a:schemeClr val="dk1"/>
            </a:solidFill>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552450</xdr:colOff>
      <xdr:row>2</xdr:row>
      <xdr:rowOff>95250</xdr:rowOff>
    </xdr:from>
    <xdr:to>
      <xdr:col>15</xdr:col>
      <xdr:colOff>0</xdr:colOff>
      <xdr:row>8</xdr:row>
      <xdr:rowOff>133350</xdr:rowOff>
    </xdr:to>
    <xdr:sp macro="" textlink="">
      <xdr:nvSpPr>
        <xdr:cNvPr id="2" name="Rectángulo 1">
          <a:extLst>
            <a:ext uri="{FF2B5EF4-FFF2-40B4-BE49-F238E27FC236}">
              <a16:creationId xmlns:a16="http://schemas.microsoft.com/office/drawing/2014/main" id="{D6B56C01-835D-4EA6-B6AF-8EB2591A861B}"/>
            </a:ext>
          </a:extLst>
        </xdr:cNvPr>
        <xdr:cNvSpPr/>
      </xdr:nvSpPr>
      <xdr:spPr>
        <a:xfrm>
          <a:off x="5886450" y="552450"/>
          <a:ext cx="5543550" cy="1181100"/>
        </a:xfrm>
        <a:prstGeom prst="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s-SV" sz="1400"/>
            <a:t>9. En la Hoja Notas 2 , en la tabla resultados </a:t>
          </a:r>
          <a:r>
            <a:rPr lang="es-SV" sz="1400" baseline="0"/>
            <a:t> cree una regla de formato condicional. Use una fórmula para formatear la columna Nombre con el color de texto Rojo (colores estandar) si el promedio de los resultados de lso cuatro exámenes es mayor a 70</a:t>
          </a:r>
          <a:endParaRPr lang="es-SV" sz="1400">
            <a:solidFill>
              <a:schemeClr val="dk1"/>
            </a:solidFill>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47624</xdr:colOff>
      <xdr:row>2</xdr:row>
      <xdr:rowOff>123825</xdr:rowOff>
    </xdr:from>
    <xdr:to>
      <xdr:col>14</xdr:col>
      <xdr:colOff>761999</xdr:colOff>
      <xdr:row>9</xdr:row>
      <xdr:rowOff>57151</xdr:rowOff>
    </xdr:to>
    <xdr:sp macro="" textlink="">
      <xdr:nvSpPr>
        <xdr:cNvPr id="2" name="CuadroTexto 1">
          <a:extLst>
            <a:ext uri="{FF2B5EF4-FFF2-40B4-BE49-F238E27FC236}">
              <a16:creationId xmlns:a16="http://schemas.microsoft.com/office/drawing/2014/main" id="{21B0C238-86EE-468A-A819-BD878D1DF65B}"/>
            </a:ext>
          </a:extLst>
        </xdr:cNvPr>
        <xdr:cNvSpPr txBox="1"/>
      </xdr:nvSpPr>
      <xdr:spPr>
        <a:xfrm>
          <a:off x="6696074" y="590550"/>
          <a:ext cx="5286375" cy="1266826"/>
        </a:xfrm>
        <a:prstGeom prst="rect">
          <a:avLst/>
        </a:prstGeom>
        <a:solidFill>
          <a:schemeClr val="lt1"/>
        </a:solidFill>
        <a:ln w="38100"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de-DE" sz="1400" b="0">
              <a:solidFill>
                <a:schemeClr val="dk1"/>
              </a:solidFill>
              <a:effectLst/>
              <a:latin typeface="+mn-lt"/>
              <a:ea typeface="+mn-ea"/>
              <a:cs typeface="+mn-cs"/>
            </a:rPr>
            <a:t>10.</a:t>
          </a:r>
          <a:r>
            <a:rPr lang="de-DE" sz="1400" b="0" baseline="0">
              <a:solidFill>
                <a:schemeClr val="dk1"/>
              </a:solidFill>
              <a:effectLst/>
              <a:latin typeface="+mn-lt"/>
              <a:ea typeface="+mn-ea"/>
              <a:cs typeface="+mn-cs"/>
            </a:rPr>
            <a:t> </a:t>
          </a:r>
          <a:r>
            <a:rPr lang="es-419" sz="1400" b="0">
              <a:solidFill>
                <a:schemeClr val="dk1"/>
              </a:solidFill>
              <a:effectLst/>
              <a:latin typeface="+mn-lt"/>
              <a:ea typeface="+mn-ea"/>
              <a:cs typeface="+mn-cs"/>
            </a:rPr>
            <a:t>En la Hoja </a:t>
          </a:r>
          <a:r>
            <a:rPr lang="es-419" sz="1400" b="1">
              <a:solidFill>
                <a:schemeClr val="dk1"/>
              </a:solidFill>
              <a:effectLst/>
              <a:latin typeface="+mn-lt"/>
              <a:ea typeface="+mn-ea"/>
              <a:cs typeface="+mn-cs"/>
            </a:rPr>
            <a:t>Resul</a:t>
          </a:r>
          <a:r>
            <a:rPr lang="es-419" sz="1400" b="0">
              <a:solidFill>
                <a:schemeClr val="dk1"/>
              </a:solidFill>
              <a:effectLst/>
              <a:latin typeface="+mn-lt"/>
              <a:ea typeface="+mn-ea"/>
              <a:cs typeface="+mn-cs"/>
            </a:rPr>
            <a:t>t actualice las propiedades  </a:t>
          </a:r>
          <a:r>
            <a:rPr lang="es-419" sz="1400" b="1">
              <a:solidFill>
                <a:schemeClr val="dk1"/>
              </a:solidFill>
              <a:effectLst/>
              <a:latin typeface="+mn-lt"/>
              <a:ea typeface="+mn-ea"/>
              <a:cs typeface="+mn-cs"/>
            </a:rPr>
            <a:t>PrintTitleRows y PrintGridlines</a:t>
          </a:r>
          <a:r>
            <a:rPr lang="es-419" sz="1400" b="0">
              <a:solidFill>
                <a:schemeClr val="dk1"/>
              </a:solidFill>
              <a:effectLst/>
              <a:latin typeface="+mn-lt"/>
              <a:ea typeface="+mn-ea"/>
              <a:cs typeface="+mn-cs"/>
            </a:rPr>
            <a:t>  de forma que la macro imprima automaticamente </a:t>
          </a:r>
          <a:r>
            <a:rPr lang="es-419" sz="1400" b="1">
              <a:solidFill>
                <a:schemeClr val="dk1"/>
              </a:solidFill>
              <a:effectLst/>
              <a:latin typeface="+mn-lt"/>
              <a:ea typeface="+mn-ea"/>
              <a:cs typeface="+mn-cs"/>
            </a:rPr>
            <a:t>las filas 1:3 </a:t>
          </a:r>
          <a:r>
            <a:rPr lang="es-419" sz="1400" b="0">
              <a:solidFill>
                <a:schemeClr val="dk1"/>
              </a:solidFill>
              <a:effectLst/>
              <a:latin typeface="+mn-lt"/>
              <a:ea typeface="+mn-ea"/>
              <a:cs typeface="+mn-cs"/>
            </a:rPr>
            <a:t>como filas de título sin imprimir la cuadrícula. Las macros estan deshabilitadas por seguridad pero si puede usar el editor</a:t>
          </a:r>
          <a:r>
            <a:rPr lang="es-419" sz="1400" b="0" baseline="0">
              <a:solidFill>
                <a:schemeClr val="dk1"/>
              </a:solidFill>
              <a:effectLst/>
              <a:latin typeface="+mn-lt"/>
              <a:ea typeface="+mn-ea"/>
              <a:cs typeface="+mn-cs"/>
            </a:rPr>
            <a:t> de Visual Basic.</a:t>
          </a:r>
          <a:endParaRPr lang="de-DE" sz="1400" b="0">
            <a:solidFill>
              <a:schemeClr val="dk1"/>
            </a:solidFill>
            <a:effectLst/>
            <a:latin typeface="+mn-lt"/>
            <a:ea typeface="+mn-ea"/>
            <a:cs typeface="+mn-cs"/>
          </a:endParaRPr>
        </a:p>
        <a:p>
          <a:endParaRPr lang="de-DE" sz="1400">
            <a:solidFill>
              <a:schemeClr val="dk1"/>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0</xdr:colOff>
      <xdr:row>4</xdr:row>
      <xdr:rowOff>0</xdr:rowOff>
    </xdr:from>
    <xdr:to>
      <xdr:col>14</xdr:col>
      <xdr:colOff>412750</xdr:colOff>
      <xdr:row>10</xdr:row>
      <xdr:rowOff>95250</xdr:rowOff>
    </xdr:to>
    <xdr:sp macro="" textlink="">
      <xdr:nvSpPr>
        <xdr:cNvPr id="2" name="CuadroTexto 1">
          <a:extLst>
            <a:ext uri="{FF2B5EF4-FFF2-40B4-BE49-F238E27FC236}">
              <a16:creationId xmlns:a16="http://schemas.microsoft.com/office/drawing/2014/main" id="{5C48A9DD-0B8E-41BC-AA5E-4D772406D6DE}"/>
            </a:ext>
          </a:extLst>
        </xdr:cNvPr>
        <xdr:cNvSpPr txBox="1"/>
      </xdr:nvSpPr>
      <xdr:spPr>
        <a:xfrm>
          <a:off x="7715250" y="793750"/>
          <a:ext cx="5746750" cy="1238250"/>
        </a:xfrm>
        <a:prstGeom prst="rect">
          <a:avLst/>
        </a:prstGeom>
        <a:solidFill>
          <a:schemeClr val="lt1"/>
        </a:solidFill>
        <a:ln w="38100"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400" b="0">
              <a:solidFill>
                <a:schemeClr val="dk1"/>
              </a:solidFill>
              <a:effectLst/>
              <a:latin typeface="+mn-lt"/>
              <a:ea typeface="+mn-ea"/>
              <a:cs typeface="+mn-cs"/>
            </a:rPr>
            <a:t>11. Utilizar</a:t>
          </a:r>
          <a:r>
            <a:rPr lang="es-ES" sz="1400" b="0" baseline="0">
              <a:solidFill>
                <a:schemeClr val="dk1"/>
              </a:solidFill>
              <a:effectLst/>
              <a:latin typeface="+mn-lt"/>
              <a:ea typeface="+mn-ea"/>
              <a:cs typeface="+mn-cs"/>
            </a:rPr>
            <a:t> una funcion de Excel paa desagrupar los datos de la tabla.</a:t>
          </a:r>
        </a:p>
        <a:p>
          <a:pPr marL="0" marR="0" lvl="0" indent="0" defTabSz="914400" eaLnBrk="1" fontAlgn="auto" latinLnBrk="0" hangingPunct="1">
            <a:lnSpc>
              <a:spcPct val="100000"/>
            </a:lnSpc>
            <a:spcBef>
              <a:spcPts val="0"/>
            </a:spcBef>
            <a:spcAft>
              <a:spcPts val="0"/>
            </a:spcAft>
            <a:buClrTx/>
            <a:buSzTx/>
            <a:buFontTx/>
            <a:buNone/>
            <a:tabLst/>
            <a:defRPr/>
          </a:pPr>
          <a:endParaRPr lang="es-ES"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ES" sz="1400" b="0" baseline="0">
              <a:solidFill>
                <a:schemeClr val="dk1"/>
              </a:solidFill>
              <a:effectLst/>
              <a:latin typeface="+mn-lt"/>
              <a:ea typeface="+mn-ea"/>
              <a:cs typeface="+mn-cs"/>
            </a:rPr>
            <a:t>12. En la columna de Costo Unitario , cree una regla de formato condicional, que muestre una </a:t>
          </a:r>
          <a:r>
            <a:rPr lang="es-ES" sz="1400" b="1" baseline="0">
              <a:solidFill>
                <a:srgbClr val="C00000"/>
              </a:solidFill>
              <a:effectLst/>
              <a:latin typeface="+mn-lt"/>
              <a:ea typeface="+mn-ea"/>
              <a:cs typeface="+mn-cs"/>
            </a:rPr>
            <a:t>Marca roja </a:t>
          </a:r>
          <a:r>
            <a:rPr lang="es-ES" sz="1400" b="0" baseline="0">
              <a:solidFill>
                <a:schemeClr val="dk1"/>
              </a:solidFill>
              <a:effectLst/>
              <a:latin typeface="+mn-lt"/>
              <a:ea typeface="+mn-ea"/>
              <a:cs typeface="+mn-cs"/>
            </a:rPr>
            <a:t>cuando haya valores en Costo unitario. No debe mostrarse un icono de celda cuando no haya un  valor de Costo unitario</a:t>
          </a:r>
          <a:endParaRPr lang="de-DE" sz="1400" b="0" baseline="0">
            <a:solidFill>
              <a:schemeClr val="dk1"/>
            </a:solidFill>
            <a:effectLst/>
            <a:latin typeface="+mn-lt"/>
            <a:ea typeface="+mn-ea"/>
            <a:cs typeface="+mn-cs"/>
          </a:endParaRPr>
        </a:p>
        <a:p>
          <a:endParaRPr lang="de-DE" sz="1400">
            <a:solidFill>
              <a:schemeClr val="dk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Dimas" refreshedDate="45464.510587152778" createdVersion="8" refreshedVersion="8" minRefreshableVersion="3" recordCount="30" xr:uid="{71B254DB-866E-4967-ABDA-8B3FBDD813E5}">
  <cacheSource type="worksheet">
    <worksheetSource ref="A1:F31" sheet="Tratamientos"/>
  </cacheSource>
  <cacheFields count="6">
    <cacheField name="CLIENTE" numFmtId="0">
      <sharedItems count="25">
        <s v="B-18"/>
        <s v="A-19"/>
        <s v="B-11"/>
        <s v="D-15"/>
        <s v="A-12"/>
        <s v="A-14"/>
        <s v="D-13"/>
        <s v="A-18"/>
        <s v="D-20"/>
        <s v="B-14"/>
        <s v="B-10"/>
        <s v="D-11"/>
        <s v="A-11"/>
        <s v="A-20"/>
        <s v="D-10"/>
        <s v="D-12"/>
        <s v="C-16"/>
        <s v="B-19"/>
        <s v="D-14"/>
        <s v="A-15"/>
        <s v="B-17"/>
        <s v="B-16"/>
        <s v="B-15"/>
        <s v="D-18"/>
        <s v="D-17"/>
      </sharedItems>
    </cacheField>
    <cacheField name="CÓDIGO TRATAMIENTO" numFmtId="0">
      <sharedItems/>
    </cacheField>
    <cacheField name="TRATAMIENTO" numFmtId="0">
      <sharedItems count="14">
        <s v="Cacahua"/>
        <s v="Chocoterapia"/>
        <s v="Con Tequila"/>
        <s v="Envolvente De Aguacate Con Yogurt"/>
        <s v="Envolvente Desintoxicante"/>
        <s v="Heavenly Body"/>
        <s v="Hieloterapia"/>
        <s v="Hipertermia"/>
        <s v="Modelaje"/>
        <s v="Relajante (No Recuerda Bien El Nombre)"/>
        <s v="Ritual Azul Turquesa"/>
        <s v="Ritual Esencial Del Mar"/>
        <s v="Velo De Novia (Exfoliacion Corporal)"/>
        <s v="De Algas Desintoxicantes"/>
      </sharedItems>
    </cacheField>
    <cacheField name="PRECIO" numFmtId="44">
      <sharedItems containsSemiMixedTypes="0" containsString="0" containsNumber="1" containsInteger="1" minValue="101" maxValue="217"/>
    </cacheField>
    <cacheField name="DESCUENTO" numFmtId="44">
      <sharedItems containsBlank="1" count="2">
        <m/>
        <s v="SI"/>
      </sharedItems>
    </cacheField>
    <cacheField name="TOTAL COBRADO" numFmtId="44">
      <sharedItems containsSemiMixedTypes="0" containsString="0" containsNumber="1" minValue="90.9" maxValue="210.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s v="SV011601"/>
    <x v="0"/>
    <n v="168"/>
    <x v="0"/>
    <n v="152.88"/>
  </r>
  <r>
    <x v="1"/>
    <s v="SV012601"/>
    <x v="0"/>
    <n v="168"/>
    <x v="0"/>
    <n v="152.88"/>
  </r>
  <r>
    <x v="2"/>
    <s v="SV008201"/>
    <x v="1"/>
    <n v="184"/>
    <x v="1"/>
    <n v="184"/>
  </r>
  <r>
    <x v="3"/>
    <s v="SV010901"/>
    <x v="1"/>
    <n v="184"/>
    <x v="0"/>
    <n v="178.48"/>
  </r>
  <r>
    <x v="4"/>
    <s v="SV020401"/>
    <x v="1"/>
    <n v="184"/>
    <x v="0"/>
    <n v="178.48"/>
  </r>
  <r>
    <x v="5"/>
    <s v="SV002901"/>
    <x v="2"/>
    <n v="146"/>
    <x v="0"/>
    <n v="144.54"/>
  </r>
  <r>
    <x v="6"/>
    <s v="SV006801"/>
    <x v="3"/>
    <n v="201"/>
    <x v="1"/>
    <n v="201"/>
  </r>
  <r>
    <x v="7"/>
    <s v="SV010101"/>
    <x v="4"/>
    <n v="198"/>
    <x v="0"/>
    <n v="188.1"/>
  </r>
  <r>
    <x v="8"/>
    <s v="SV017401"/>
    <x v="4"/>
    <n v="198"/>
    <x v="0"/>
    <n v="178.2"/>
  </r>
  <r>
    <x v="9"/>
    <s v="SV006301"/>
    <x v="5"/>
    <n v="192"/>
    <x v="1"/>
    <n v="192"/>
  </r>
  <r>
    <x v="10"/>
    <s v="SV004101"/>
    <x v="6"/>
    <n v="195"/>
    <x v="1"/>
    <n v="195"/>
  </r>
  <r>
    <x v="11"/>
    <s v="SV005701"/>
    <x v="7"/>
    <n v="202"/>
    <x v="0"/>
    <n v="183.82"/>
  </r>
  <r>
    <x v="12"/>
    <s v="SV007601"/>
    <x v="7"/>
    <n v="202"/>
    <x v="0"/>
    <n v="189.88"/>
  </r>
  <r>
    <x v="13"/>
    <s v="SV008001"/>
    <x v="7"/>
    <n v="202"/>
    <x v="1"/>
    <n v="202"/>
  </r>
  <r>
    <x v="14"/>
    <s v="SV012201"/>
    <x v="7"/>
    <n v="202"/>
    <x v="0"/>
    <n v="189.88"/>
  </r>
  <r>
    <x v="10"/>
    <s v="SV016701"/>
    <x v="8"/>
    <n v="199"/>
    <x v="0"/>
    <n v="185.07"/>
  </r>
  <r>
    <x v="15"/>
    <s v="SV020101"/>
    <x v="8"/>
    <n v="199"/>
    <x v="0"/>
    <n v="183.08"/>
  </r>
  <r>
    <x v="4"/>
    <s v="SV020501"/>
    <x v="8"/>
    <n v="199"/>
    <x v="1"/>
    <n v="179.1"/>
  </r>
  <r>
    <x v="3"/>
    <s v="SV009801"/>
    <x v="9"/>
    <n v="170"/>
    <x v="0"/>
    <n v="161.5"/>
  </r>
  <r>
    <x v="16"/>
    <s v="SV017101"/>
    <x v="9"/>
    <n v="170"/>
    <x v="0"/>
    <n v="158.1"/>
  </r>
  <r>
    <x v="17"/>
    <s v="SV005901"/>
    <x v="10"/>
    <n v="194"/>
    <x v="0"/>
    <n v="188.18"/>
  </r>
  <r>
    <x v="18"/>
    <s v="SV016501"/>
    <x v="10"/>
    <n v="194"/>
    <x v="0"/>
    <n v="192.06"/>
  </r>
  <r>
    <x v="13"/>
    <s v="SV010301"/>
    <x v="11"/>
    <n v="214"/>
    <x v="1"/>
    <n v="209.72"/>
  </r>
  <r>
    <x v="19"/>
    <s v="SV016601"/>
    <x v="12"/>
    <n v="217"/>
    <x v="1"/>
    <n v="210.49"/>
  </r>
  <r>
    <x v="20"/>
    <s v="SV008301"/>
    <x v="0"/>
    <n v="168"/>
    <x v="1"/>
    <n v="157.91999999999999"/>
  </r>
  <r>
    <x v="21"/>
    <s v="SV015701"/>
    <x v="1"/>
    <n v="184"/>
    <x v="0"/>
    <n v="182.16"/>
  </r>
  <r>
    <x v="22"/>
    <s v="SV015601"/>
    <x v="13"/>
    <n v="101"/>
    <x v="0"/>
    <n v="90.9"/>
  </r>
  <r>
    <x v="20"/>
    <s v="SV015801"/>
    <x v="13"/>
    <n v="101"/>
    <x v="0"/>
    <n v="99.99"/>
  </r>
  <r>
    <x v="23"/>
    <s v="SV007401"/>
    <x v="3"/>
    <n v="201"/>
    <x v="1"/>
    <n v="201"/>
  </r>
  <r>
    <x v="24"/>
    <s v="SV009001"/>
    <x v="3"/>
    <n v="201"/>
    <x v="0"/>
    <n v="198.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074D1D-25FC-484A-8BC5-832FA183EA38}"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3:B18" firstHeaderRow="1" firstDataRow="1" firstDataCol="1"/>
  <pivotFields count="6">
    <pivotField showAll="0">
      <items count="26">
        <item x="12"/>
        <item x="4"/>
        <item x="5"/>
        <item x="19"/>
        <item x="7"/>
        <item x="1"/>
        <item x="13"/>
        <item x="10"/>
        <item x="2"/>
        <item x="9"/>
        <item x="22"/>
        <item x="21"/>
        <item x="20"/>
        <item x="0"/>
        <item x="17"/>
        <item x="16"/>
        <item x="14"/>
        <item x="11"/>
        <item x="15"/>
        <item x="6"/>
        <item x="18"/>
        <item x="3"/>
        <item x="24"/>
        <item x="23"/>
        <item x="8"/>
        <item t="default"/>
      </items>
    </pivotField>
    <pivotField showAll="0"/>
    <pivotField axis="axisRow" showAll="0">
      <items count="15">
        <item x="0"/>
        <item x="1"/>
        <item x="2"/>
        <item x="13"/>
        <item x="3"/>
        <item x="4"/>
        <item x="5"/>
        <item x="6"/>
        <item x="7"/>
        <item x="8"/>
        <item x="9"/>
        <item x="10"/>
        <item x="11"/>
        <item x="12"/>
        <item t="default"/>
      </items>
    </pivotField>
    <pivotField dataField="1" numFmtId="44" showAll="0"/>
    <pivotField showAll="0">
      <items count="3">
        <item x="1"/>
        <item x="0"/>
        <item t="default"/>
      </items>
    </pivotField>
    <pivotField numFmtId="44"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Suma de PRECIO"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042197-9169-4FB8-B703-A588A62F9969}" name="Tabla1" displayName="Tabla1" ref="A1:D19" totalsRowShown="0">
  <autoFilter ref="A1:D19" xr:uid="{A4042197-9169-4FB8-B703-A588A62F9969}"/>
  <sortState xmlns:xlrd2="http://schemas.microsoft.com/office/spreadsheetml/2017/richdata2" ref="A2:D19">
    <sortCondition ref="C1:C19"/>
  </sortState>
  <tableColumns count="4">
    <tableColumn id="1" xr3:uid="{B1DC3E67-7669-4F45-AB03-96FFD6F9EF27}" name="Region"/>
    <tableColumn id="2" xr3:uid="{418A3F84-C305-477D-BDFA-50D0E4662B7D}" name="Producto"/>
    <tableColumn id="3" xr3:uid="{6AFDE9ED-07A3-4E77-B337-51D3A020DB52}" name="Vendedor"/>
    <tableColumn id="4" xr3:uid="{FB5E114B-1C8F-4A92-9BB3-A7985A420EEF}" name="Ventas"/>
  </tableColumns>
  <tableStyleInfo name="TableStyleMedium1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27C7-A9E7-4187-BCAA-91AFC2D3E561}">
  <sheetPr codeName="Hoja1"/>
  <dimension ref="A1:D19"/>
  <sheetViews>
    <sheetView tabSelected="1" zoomScale="120" zoomScaleNormal="120" workbookViewId="0">
      <selection activeCell="B11" sqref="B11"/>
    </sheetView>
  </sheetViews>
  <sheetFormatPr baseColWidth="10" defaultRowHeight="15" x14ac:dyDescent="0.25"/>
  <cols>
    <col min="3" max="3" width="11.5703125" customWidth="1"/>
  </cols>
  <sheetData>
    <row r="1" spans="1:4" x14ac:dyDescent="0.25">
      <c r="A1" t="s">
        <v>0</v>
      </c>
      <c r="B1" t="s">
        <v>1</v>
      </c>
      <c r="C1" t="s">
        <v>2</v>
      </c>
      <c r="D1" t="s">
        <v>3</v>
      </c>
    </row>
    <row r="2" spans="1:4" x14ac:dyDescent="0.25">
      <c r="A2" t="s">
        <v>10</v>
      </c>
      <c r="B2" t="s">
        <v>5</v>
      </c>
      <c r="C2" t="s">
        <v>11</v>
      </c>
      <c r="D2">
        <v>10000</v>
      </c>
    </row>
    <row r="3" spans="1:4" x14ac:dyDescent="0.25">
      <c r="A3" t="s">
        <v>10</v>
      </c>
      <c r="B3" t="s">
        <v>8</v>
      </c>
      <c r="C3" t="s">
        <v>11</v>
      </c>
      <c r="D3">
        <v>10348</v>
      </c>
    </row>
    <row r="4" spans="1:4" x14ac:dyDescent="0.25">
      <c r="A4" t="s">
        <v>10</v>
      </c>
      <c r="B4" t="s">
        <v>9</v>
      </c>
      <c r="C4" t="s">
        <v>11</v>
      </c>
      <c r="D4">
        <v>13531</v>
      </c>
    </row>
    <row r="5" spans="1:4" x14ac:dyDescent="0.25">
      <c r="A5" t="s">
        <v>4</v>
      </c>
      <c r="B5" t="s">
        <v>5</v>
      </c>
      <c r="C5" t="s">
        <v>6</v>
      </c>
      <c r="D5">
        <v>18274</v>
      </c>
    </row>
    <row r="6" spans="1:4" x14ac:dyDescent="0.25">
      <c r="A6" t="s">
        <v>4</v>
      </c>
      <c r="B6" t="s">
        <v>8</v>
      </c>
      <c r="C6" t="s">
        <v>6</v>
      </c>
      <c r="D6">
        <v>11420</v>
      </c>
    </row>
    <row r="7" spans="1:4" x14ac:dyDescent="0.25">
      <c r="A7" t="s">
        <v>4</v>
      </c>
      <c r="B7" t="s">
        <v>9</v>
      </c>
      <c r="C7" t="s">
        <v>6</v>
      </c>
      <c r="D7">
        <v>20098</v>
      </c>
    </row>
    <row r="8" spans="1:4" x14ac:dyDescent="0.25">
      <c r="A8" t="s">
        <v>4</v>
      </c>
      <c r="B8" t="s">
        <v>5</v>
      </c>
      <c r="C8" t="s">
        <v>7</v>
      </c>
      <c r="D8">
        <v>16900</v>
      </c>
    </row>
    <row r="9" spans="1:4" x14ac:dyDescent="0.25">
      <c r="A9" t="s">
        <v>4</v>
      </c>
      <c r="B9" t="s">
        <v>8</v>
      </c>
      <c r="C9" t="s">
        <v>7</v>
      </c>
      <c r="D9">
        <v>12948</v>
      </c>
    </row>
    <row r="10" spans="1:4" x14ac:dyDescent="0.25">
      <c r="A10" t="s">
        <v>4</v>
      </c>
      <c r="B10" t="s">
        <v>9</v>
      </c>
      <c r="C10" t="s">
        <v>7</v>
      </c>
      <c r="D10">
        <v>30633</v>
      </c>
    </row>
    <row r="11" spans="1:4" x14ac:dyDescent="0.25">
      <c r="A11" t="s">
        <v>13</v>
      </c>
      <c r="B11" t="s">
        <v>5</v>
      </c>
      <c r="C11" t="s">
        <v>14</v>
      </c>
      <c r="D11">
        <v>14777</v>
      </c>
    </row>
    <row r="12" spans="1:4" x14ac:dyDescent="0.25">
      <c r="A12" t="s">
        <v>13</v>
      </c>
      <c r="B12" t="s">
        <v>8</v>
      </c>
      <c r="C12" t="s">
        <v>14</v>
      </c>
      <c r="D12">
        <v>10711</v>
      </c>
    </row>
    <row r="13" spans="1:4" x14ac:dyDescent="0.25">
      <c r="A13" t="s">
        <v>13</v>
      </c>
      <c r="B13" t="s">
        <v>9</v>
      </c>
      <c r="C13" t="s">
        <v>14</v>
      </c>
      <c r="D13">
        <v>32855</v>
      </c>
    </row>
    <row r="14" spans="1:4" x14ac:dyDescent="0.25">
      <c r="A14" t="s">
        <v>10</v>
      </c>
      <c r="B14" t="s">
        <v>5</v>
      </c>
      <c r="C14" t="s">
        <v>12</v>
      </c>
      <c r="D14">
        <v>17666</v>
      </c>
    </row>
    <row r="15" spans="1:4" x14ac:dyDescent="0.25">
      <c r="A15" t="s">
        <v>10</v>
      </c>
      <c r="B15" t="s">
        <v>8</v>
      </c>
      <c r="C15" t="s">
        <v>12</v>
      </c>
      <c r="D15">
        <v>19312</v>
      </c>
    </row>
    <row r="16" spans="1:4" x14ac:dyDescent="0.25">
      <c r="A16" t="s">
        <v>10</v>
      </c>
      <c r="B16" t="s">
        <v>9</v>
      </c>
      <c r="C16" t="s">
        <v>12</v>
      </c>
      <c r="D16">
        <v>13374</v>
      </c>
    </row>
    <row r="17" spans="1:4" x14ac:dyDescent="0.25">
      <c r="A17" t="s">
        <v>13</v>
      </c>
      <c r="B17" t="s">
        <v>5</v>
      </c>
      <c r="C17" t="s">
        <v>15</v>
      </c>
      <c r="D17">
        <v>15444</v>
      </c>
    </row>
    <row r="18" spans="1:4" x14ac:dyDescent="0.25">
      <c r="A18" t="s">
        <v>13</v>
      </c>
      <c r="B18" t="s">
        <v>8</v>
      </c>
      <c r="C18" t="s">
        <v>15</v>
      </c>
      <c r="D18">
        <v>18780</v>
      </c>
    </row>
    <row r="19" spans="1:4" x14ac:dyDescent="0.25">
      <c r="A19" t="s">
        <v>13</v>
      </c>
      <c r="B19" t="s">
        <v>9</v>
      </c>
      <c r="C19" t="s">
        <v>15</v>
      </c>
      <c r="D19">
        <v>23151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F98A-C7C2-4FCB-A00C-40C280723BBF}">
  <sheetPr codeName="Hoja2"/>
  <dimension ref="A1:G21"/>
  <sheetViews>
    <sheetView workbookViewId="0">
      <selection activeCell="G6" sqref="G6"/>
    </sheetView>
  </sheetViews>
  <sheetFormatPr baseColWidth="10" defaultRowHeight="15" x14ac:dyDescent="0.25"/>
  <cols>
    <col min="2" max="2" width="15.85546875" bestFit="1" customWidth="1"/>
    <col min="4" max="4" width="14.42578125" bestFit="1" customWidth="1"/>
    <col min="5" max="5" width="20.140625" bestFit="1" customWidth="1"/>
    <col min="7" max="7" width="17" bestFit="1" customWidth="1"/>
  </cols>
  <sheetData>
    <row r="1" spans="1:7" ht="18.75" x14ac:dyDescent="0.25">
      <c r="A1" s="34" t="s">
        <v>16</v>
      </c>
      <c r="B1" s="34"/>
      <c r="C1" s="34"/>
      <c r="D1" s="34"/>
      <c r="E1" s="34"/>
    </row>
    <row r="2" spans="1:7" ht="15.75" thickBot="1" x14ac:dyDescent="0.3">
      <c r="G2" t="s">
        <v>40</v>
      </c>
    </row>
    <row r="3" spans="1:7" ht="15.75" thickBot="1" x14ac:dyDescent="0.3">
      <c r="A3" s="5" t="s">
        <v>17</v>
      </c>
      <c r="B3" s="6" t="s">
        <v>18</v>
      </c>
      <c r="C3" s="6" t="s">
        <v>19</v>
      </c>
      <c r="D3" s="6" t="s">
        <v>20</v>
      </c>
      <c r="E3" s="7" t="s">
        <v>21</v>
      </c>
      <c r="G3" s="10">
        <f>SUMIF(E4:E21,"&lt;",C4:C21)</f>
        <v>0</v>
      </c>
    </row>
    <row r="4" spans="1:7" x14ac:dyDescent="0.25">
      <c r="A4" s="3">
        <v>15000</v>
      </c>
      <c r="B4" s="4" t="s">
        <v>22</v>
      </c>
      <c r="C4" s="3">
        <v>4</v>
      </c>
      <c r="D4" s="8">
        <v>45302</v>
      </c>
      <c r="E4" s="8">
        <v>45316</v>
      </c>
    </row>
    <row r="5" spans="1:7" x14ac:dyDescent="0.25">
      <c r="A5" s="1">
        <v>15001</v>
      </c>
      <c r="B5" s="2" t="s">
        <v>23</v>
      </c>
      <c r="C5" s="1">
        <v>4</v>
      </c>
      <c r="D5" s="9">
        <v>45309</v>
      </c>
      <c r="E5" s="9">
        <v>45403</v>
      </c>
    </row>
    <row r="6" spans="1:7" x14ac:dyDescent="0.25">
      <c r="A6" s="1">
        <v>15002</v>
      </c>
      <c r="B6" s="2" t="s">
        <v>24</v>
      </c>
      <c r="C6" s="1">
        <v>4</v>
      </c>
      <c r="D6" s="9">
        <v>45333</v>
      </c>
      <c r="E6" s="9">
        <v>45402</v>
      </c>
    </row>
    <row r="7" spans="1:7" x14ac:dyDescent="0.25">
      <c r="A7" s="1">
        <v>15003</v>
      </c>
      <c r="B7" s="2" t="s">
        <v>25</v>
      </c>
      <c r="C7" s="1">
        <v>4</v>
      </c>
      <c r="D7" s="9">
        <v>45363</v>
      </c>
      <c r="E7" s="9">
        <v>45440</v>
      </c>
    </row>
    <row r="8" spans="1:7" x14ac:dyDescent="0.25">
      <c r="A8" s="1">
        <v>15004</v>
      </c>
      <c r="B8" s="2" t="s">
        <v>26</v>
      </c>
      <c r="C8" s="1">
        <v>4</v>
      </c>
      <c r="D8" s="9">
        <v>45353</v>
      </c>
      <c r="E8" s="9">
        <v>45406</v>
      </c>
    </row>
    <row r="9" spans="1:7" x14ac:dyDescent="0.25">
      <c r="A9" s="1">
        <v>15005</v>
      </c>
      <c r="B9" s="2" t="s">
        <v>27</v>
      </c>
      <c r="C9" s="1">
        <v>4</v>
      </c>
      <c r="D9" s="9">
        <v>45372</v>
      </c>
      <c r="E9" s="9">
        <v>45413</v>
      </c>
    </row>
    <row r="10" spans="1:7" x14ac:dyDescent="0.25">
      <c r="A10" s="1">
        <v>15006</v>
      </c>
      <c r="B10" s="2" t="s">
        <v>28</v>
      </c>
      <c r="C10" s="1">
        <v>4</v>
      </c>
      <c r="D10" s="9">
        <v>45366</v>
      </c>
      <c r="E10" s="9">
        <v>45466</v>
      </c>
    </row>
    <row r="11" spans="1:7" x14ac:dyDescent="0.25">
      <c r="A11" s="1">
        <v>15007</v>
      </c>
      <c r="B11" s="2" t="s">
        <v>29</v>
      </c>
      <c r="C11" s="1">
        <v>4</v>
      </c>
      <c r="D11" s="9">
        <v>45360</v>
      </c>
      <c r="E11" s="9">
        <v>45379</v>
      </c>
    </row>
    <row r="12" spans="1:7" x14ac:dyDescent="0.25">
      <c r="A12" s="1">
        <v>15008</v>
      </c>
      <c r="B12" s="2" t="s">
        <v>30</v>
      </c>
      <c r="C12" s="1">
        <v>40</v>
      </c>
      <c r="D12" s="9">
        <v>45388</v>
      </c>
      <c r="E12" s="9">
        <v>45417</v>
      </c>
    </row>
    <row r="13" spans="1:7" x14ac:dyDescent="0.25">
      <c r="A13" s="1">
        <v>15009</v>
      </c>
      <c r="B13" s="2" t="s">
        <v>31</v>
      </c>
      <c r="C13" s="1">
        <v>8</v>
      </c>
      <c r="D13" s="9">
        <v>45361</v>
      </c>
      <c r="E13" s="9">
        <v>45427</v>
      </c>
    </row>
    <row r="14" spans="1:7" x14ac:dyDescent="0.25">
      <c r="A14" s="1">
        <v>15010</v>
      </c>
      <c r="B14" s="2" t="s">
        <v>32</v>
      </c>
      <c r="C14" s="1">
        <v>4</v>
      </c>
      <c r="D14" s="9">
        <v>45385</v>
      </c>
      <c r="E14" s="9">
        <v>45454</v>
      </c>
    </row>
    <row r="15" spans="1:7" x14ac:dyDescent="0.25">
      <c r="A15" s="1">
        <v>15011</v>
      </c>
      <c r="B15" s="2" t="s">
        <v>33</v>
      </c>
      <c r="C15" s="1">
        <v>8</v>
      </c>
      <c r="D15" s="9">
        <v>45399</v>
      </c>
      <c r="E15" s="9">
        <v>45465</v>
      </c>
    </row>
    <row r="16" spans="1:7" x14ac:dyDescent="0.25">
      <c r="A16" s="1">
        <v>15012</v>
      </c>
      <c r="B16" s="2" t="s">
        <v>34</v>
      </c>
      <c r="C16" s="1">
        <v>4</v>
      </c>
      <c r="D16" s="9">
        <v>45353</v>
      </c>
      <c r="E16" s="9">
        <v>45359</v>
      </c>
    </row>
    <row r="17" spans="1:5" x14ac:dyDescent="0.25">
      <c r="A17" s="1">
        <v>15013</v>
      </c>
      <c r="B17" s="2" t="s">
        <v>35</v>
      </c>
      <c r="C17" s="1">
        <v>4</v>
      </c>
      <c r="D17" s="9">
        <v>45317</v>
      </c>
      <c r="E17" s="9">
        <v>45399</v>
      </c>
    </row>
    <row r="18" spans="1:5" x14ac:dyDescent="0.25">
      <c r="A18" s="1">
        <v>15014</v>
      </c>
      <c r="B18" s="2" t="s">
        <v>36</v>
      </c>
      <c r="C18" s="1">
        <v>8</v>
      </c>
      <c r="D18" s="9">
        <v>45335</v>
      </c>
      <c r="E18" s="9">
        <v>45405</v>
      </c>
    </row>
    <row r="19" spans="1:5" x14ac:dyDescent="0.25">
      <c r="A19" s="1">
        <v>15015</v>
      </c>
      <c r="B19" s="2" t="s">
        <v>37</v>
      </c>
      <c r="C19" s="1">
        <v>4</v>
      </c>
      <c r="D19" s="9">
        <v>45320</v>
      </c>
      <c r="E19" s="9">
        <v>45337</v>
      </c>
    </row>
    <row r="20" spans="1:5" x14ac:dyDescent="0.25">
      <c r="A20" s="1">
        <v>15016</v>
      </c>
      <c r="B20" s="2" t="s">
        <v>38</v>
      </c>
      <c r="C20" s="1">
        <v>16</v>
      </c>
      <c r="D20" s="9">
        <v>45328</v>
      </c>
      <c r="E20" s="9">
        <v>45400</v>
      </c>
    </row>
    <row r="21" spans="1:5" x14ac:dyDescent="0.25">
      <c r="A21" s="1">
        <v>15017</v>
      </c>
      <c r="B21" s="2" t="s">
        <v>39</v>
      </c>
      <c r="C21" s="1">
        <v>4</v>
      </c>
      <c r="D21" s="9">
        <v>45361</v>
      </c>
      <c r="E21" s="9">
        <v>45447</v>
      </c>
    </row>
  </sheetData>
  <mergeCells count="1">
    <mergeCell ref="A1:E1"/>
  </mergeCells>
  <phoneticPr fontId="7"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2EB1A-C4D4-4199-B0DB-08003295A31D}">
  <sheetPr codeName="Hoja4"/>
  <dimension ref="A1:F10"/>
  <sheetViews>
    <sheetView zoomScale="90" zoomScaleNormal="90" workbookViewId="0">
      <selection activeCell="F18" sqref="F18"/>
    </sheetView>
  </sheetViews>
  <sheetFormatPr baseColWidth="10" defaultRowHeight="15" x14ac:dyDescent="0.25"/>
  <cols>
    <col min="2" max="2" width="16.42578125" bestFit="1" customWidth="1"/>
    <col min="3" max="3" width="15.85546875" bestFit="1" customWidth="1"/>
    <col min="4" max="4" width="15.42578125" bestFit="1" customWidth="1"/>
    <col min="5" max="5" width="22.85546875" bestFit="1" customWidth="1"/>
    <col min="6" max="6" width="22.140625" bestFit="1" customWidth="1"/>
  </cols>
  <sheetData>
    <row r="1" spans="1:6" ht="18.75" x14ac:dyDescent="0.25">
      <c r="A1" s="34" t="s">
        <v>16</v>
      </c>
      <c r="B1" s="34"/>
      <c r="C1" s="34"/>
      <c r="D1" s="34"/>
      <c r="E1" s="34"/>
    </row>
    <row r="3" spans="1:6" ht="17.25" x14ac:dyDescent="0.3">
      <c r="A3" s="11" t="s">
        <v>41</v>
      </c>
      <c r="B3" s="11" t="s">
        <v>42</v>
      </c>
      <c r="C3" s="11" t="s">
        <v>43</v>
      </c>
      <c r="D3" s="11" t="s">
        <v>44</v>
      </c>
      <c r="E3" s="11" t="s">
        <v>45</v>
      </c>
      <c r="F3" s="11" t="s">
        <v>46</v>
      </c>
    </row>
    <row r="4" spans="1:6" x14ac:dyDescent="0.25">
      <c r="A4" s="1" t="s">
        <v>47</v>
      </c>
      <c r="B4" s="1" t="s">
        <v>54</v>
      </c>
      <c r="C4" s="1" t="s">
        <v>61</v>
      </c>
      <c r="D4" s="12">
        <v>225</v>
      </c>
      <c r="E4" s="1">
        <v>50</v>
      </c>
      <c r="F4" s="1">
        <v>95</v>
      </c>
    </row>
    <row r="5" spans="1:6" x14ac:dyDescent="0.25">
      <c r="A5" s="1" t="s">
        <v>48</v>
      </c>
      <c r="B5" s="1" t="s">
        <v>55</v>
      </c>
      <c r="C5" s="1" t="s">
        <v>62</v>
      </c>
      <c r="D5" s="12">
        <v>250</v>
      </c>
      <c r="E5" s="1">
        <v>80</v>
      </c>
      <c r="F5" s="1">
        <v>108</v>
      </c>
    </row>
    <row r="6" spans="1:6" x14ac:dyDescent="0.25">
      <c r="A6" s="1" t="s">
        <v>49</v>
      </c>
      <c r="B6" s="1" t="s">
        <v>56</v>
      </c>
      <c r="C6" s="1" t="s">
        <v>63</v>
      </c>
      <c r="D6" s="12">
        <v>145</v>
      </c>
      <c r="E6" s="1">
        <v>100</v>
      </c>
      <c r="F6" s="1">
        <v>120</v>
      </c>
    </row>
    <row r="7" spans="1:6" x14ac:dyDescent="0.25">
      <c r="A7" s="1" t="s">
        <v>50</v>
      </c>
      <c r="B7" s="1" t="s">
        <v>57</v>
      </c>
      <c r="C7" s="1" t="s">
        <v>64</v>
      </c>
      <c r="D7" s="12">
        <v>150</v>
      </c>
      <c r="E7" s="1">
        <v>125</v>
      </c>
      <c r="F7" s="1">
        <v>120</v>
      </c>
    </row>
    <row r="8" spans="1:6" x14ac:dyDescent="0.25">
      <c r="A8" s="1" t="s">
        <v>51</v>
      </c>
      <c r="B8" s="1" t="s">
        <v>59</v>
      </c>
      <c r="C8" s="1" t="s">
        <v>65</v>
      </c>
      <c r="D8" s="12">
        <v>180</v>
      </c>
      <c r="E8" s="1">
        <v>65</v>
      </c>
      <c r="F8" s="1">
        <v>80</v>
      </c>
    </row>
    <row r="9" spans="1:6" x14ac:dyDescent="0.25">
      <c r="A9" s="1" t="s">
        <v>52</v>
      </c>
      <c r="B9" s="1" t="s">
        <v>58</v>
      </c>
      <c r="C9" s="1" t="s">
        <v>66</v>
      </c>
      <c r="D9" s="12">
        <v>120</v>
      </c>
      <c r="E9" s="1">
        <v>150</v>
      </c>
      <c r="F9" s="1">
        <v>120</v>
      </c>
    </row>
    <row r="10" spans="1:6" x14ac:dyDescent="0.25">
      <c r="A10" s="1" t="s">
        <v>53</v>
      </c>
      <c r="B10" s="1" t="s">
        <v>60</v>
      </c>
      <c r="C10" s="1" t="s">
        <v>67</v>
      </c>
      <c r="D10" s="12">
        <v>120</v>
      </c>
      <c r="E10" s="1">
        <v>200</v>
      </c>
      <c r="F10" s="1">
        <v>120</v>
      </c>
    </row>
  </sheetData>
  <mergeCells count="1">
    <mergeCell ref="A1:E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9F6B-4B91-40AA-9FF2-3A926F9CE2A1}">
  <sheetPr codeName="Hoja5"/>
  <dimension ref="A1:G25"/>
  <sheetViews>
    <sheetView workbookViewId="0">
      <selection activeCell="M14" sqref="M14"/>
    </sheetView>
  </sheetViews>
  <sheetFormatPr baseColWidth="10" defaultRowHeight="15" x14ac:dyDescent="0.25"/>
  <cols>
    <col min="1" max="1" width="17.5703125" bestFit="1" customWidth="1"/>
    <col min="2" max="2" width="8.140625" bestFit="1" customWidth="1"/>
    <col min="3" max="6" width="7.28515625" bestFit="1" customWidth="1"/>
    <col min="7" max="7" width="11.28515625" bestFit="1" customWidth="1"/>
  </cols>
  <sheetData>
    <row r="1" spans="1:7" ht="21" x14ac:dyDescent="0.25">
      <c r="A1" s="35" t="s">
        <v>68</v>
      </c>
      <c r="B1" s="35"/>
      <c r="C1" s="35"/>
      <c r="D1" s="35"/>
      <c r="E1" s="35"/>
      <c r="F1" s="35"/>
      <c r="G1" s="35"/>
    </row>
    <row r="3" spans="1:7" x14ac:dyDescent="0.25">
      <c r="A3" s="14" t="s">
        <v>69</v>
      </c>
      <c r="B3" s="14" t="s">
        <v>70</v>
      </c>
      <c r="C3" s="14" t="s">
        <v>71</v>
      </c>
      <c r="D3" s="14" t="s">
        <v>72</v>
      </c>
      <c r="E3" s="14" t="s">
        <v>73</v>
      </c>
      <c r="F3" s="14" t="s">
        <v>74</v>
      </c>
      <c r="G3" s="14" t="s">
        <v>75</v>
      </c>
    </row>
    <row r="4" spans="1:7" x14ac:dyDescent="0.25">
      <c r="A4" t="s">
        <v>76</v>
      </c>
      <c r="B4" t="s">
        <v>77</v>
      </c>
      <c r="C4">
        <v>79</v>
      </c>
      <c r="D4">
        <v>46</v>
      </c>
      <c r="E4">
        <v>59</v>
      </c>
      <c r="F4">
        <v>72</v>
      </c>
      <c r="G4">
        <v>79</v>
      </c>
    </row>
    <row r="5" spans="1:7" x14ac:dyDescent="0.25">
      <c r="A5" t="s">
        <v>78</v>
      </c>
      <c r="B5" t="s">
        <v>79</v>
      </c>
      <c r="C5">
        <v>76</v>
      </c>
      <c r="D5">
        <v>86</v>
      </c>
      <c r="E5">
        <v>62</v>
      </c>
      <c r="F5">
        <v>69</v>
      </c>
      <c r="G5">
        <v>86</v>
      </c>
    </row>
    <row r="6" spans="1:7" x14ac:dyDescent="0.25">
      <c r="A6" t="s">
        <v>80</v>
      </c>
      <c r="B6" t="s">
        <v>79</v>
      </c>
      <c r="C6">
        <v>41</v>
      </c>
      <c r="D6">
        <v>74</v>
      </c>
      <c r="E6">
        <v>41</v>
      </c>
      <c r="F6">
        <v>84</v>
      </c>
      <c r="G6">
        <v>84</v>
      </c>
    </row>
    <row r="7" spans="1:7" x14ac:dyDescent="0.25">
      <c r="A7" t="s">
        <v>81</v>
      </c>
      <c r="B7" t="s">
        <v>79</v>
      </c>
      <c r="C7">
        <v>57</v>
      </c>
      <c r="D7">
        <v>85</v>
      </c>
      <c r="E7">
        <v>62</v>
      </c>
      <c r="F7">
        <v>63</v>
      </c>
      <c r="G7">
        <v>85</v>
      </c>
    </row>
    <row r="8" spans="1:7" x14ac:dyDescent="0.25">
      <c r="A8" t="s">
        <v>82</v>
      </c>
      <c r="B8" t="s">
        <v>79</v>
      </c>
      <c r="C8">
        <v>59</v>
      </c>
      <c r="D8">
        <v>62</v>
      </c>
      <c r="E8">
        <v>67</v>
      </c>
      <c r="F8">
        <v>81</v>
      </c>
      <c r="G8">
        <v>81</v>
      </c>
    </row>
    <row r="9" spans="1:7" x14ac:dyDescent="0.25">
      <c r="A9" t="s">
        <v>83</v>
      </c>
      <c r="B9" t="s">
        <v>77</v>
      </c>
      <c r="C9">
        <v>69</v>
      </c>
      <c r="D9">
        <v>57</v>
      </c>
      <c r="E9">
        <v>69</v>
      </c>
      <c r="F9">
        <v>88</v>
      </c>
      <c r="G9">
        <v>88</v>
      </c>
    </row>
    <row r="10" spans="1:7" x14ac:dyDescent="0.25">
      <c r="A10" t="s">
        <v>84</v>
      </c>
      <c r="B10" t="s">
        <v>79</v>
      </c>
      <c r="C10">
        <v>91</v>
      </c>
      <c r="D10">
        <v>74</v>
      </c>
      <c r="E10">
        <v>84</v>
      </c>
      <c r="F10">
        <v>73</v>
      </c>
      <c r="G10">
        <v>91</v>
      </c>
    </row>
    <row r="11" spans="1:7" x14ac:dyDescent="0.25">
      <c r="A11" t="s">
        <v>85</v>
      </c>
      <c r="B11" t="s">
        <v>79</v>
      </c>
      <c r="C11">
        <v>61</v>
      </c>
      <c r="D11">
        <v>76</v>
      </c>
      <c r="E11">
        <v>69</v>
      </c>
      <c r="F11">
        <v>73</v>
      </c>
      <c r="G11">
        <v>73</v>
      </c>
    </row>
    <row r="12" spans="1:7" x14ac:dyDescent="0.25">
      <c r="A12" t="s">
        <v>86</v>
      </c>
      <c r="B12" t="s">
        <v>77</v>
      </c>
      <c r="C12">
        <v>66</v>
      </c>
      <c r="D12">
        <v>61</v>
      </c>
      <c r="E12">
        <v>69</v>
      </c>
      <c r="F12">
        <v>75</v>
      </c>
      <c r="G12">
        <v>86</v>
      </c>
    </row>
    <row r="13" spans="1:7" x14ac:dyDescent="0.25">
      <c r="A13" t="s">
        <v>87</v>
      </c>
      <c r="B13" t="s">
        <v>77</v>
      </c>
      <c r="C13">
        <v>82</v>
      </c>
      <c r="D13">
        <v>71</v>
      </c>
      <c r="E13">
        <v>69</v>
      </c>
      <c r="F13">
        <v>86</v>
      </c>
      <c r="G13">
        <v>99</v>
      </c>
    </row>
    <row r="14" spans="1:7" x14ac:dyDescent="0.25">
      <c r="A14" t="s">
        <v>88</v>
      </c>
      <c r="B14" t="s">
        <v>77</v>
      </c>
      <c r="C14">
        <v>65</v>
      </c>
      <c r="D14">
        <v>99</v>
      </c>
      <c r="E14">
        <v>58</v>
      </c>
      <c r="F14">
        <v>85</v>
      </c>
      <c r="G14">
        <v>70</v>
      </c>
    </row>
    <row r="15" spans="1:7" x14ac:dyDescent="0.25">
      <c r="A15" t="s">
        <v>89</v>
      </c>
      <c r="B15" t="s">
        <v>77</v>
      </c>
      <c r="C15">
        <v>82</v>
      </c>
      <c r="D15">
        <v>64</v>
      </c>
      <c r="E15">
        <v>95</v>
      </c>
      <c r="F15">
        <v>84</v>
      </c>
      <c r="G15">
        <v>82</v>
      </c>
    </row>
    <row r="16" spans="1:7" x14ac:dyDescent="0.25">
      <c r="A16" t="s">
        <v>90</v>
      </c>
      <c r="B16" t="s">
        <v>79</v>
      </c>
      <c r="C16">
        <v>61</v>
      </c>
      <c r="D16">
        <v>64</v>
      </c>
      <c r="E16">
        <v>56</v>
      </c>
      <c r="F16">
        <v>70</v>
      </c>
      <c r="G16">
        <v>83</v>
      </c>
    </row>
    <row r="17" spans="1:7" x14ac:dyDescent="0.25">
      <c r="A17" t="s">
        <v>91</v>
      </c>
      <c r="B17" t="s">
        <v>79</v>
      </c>
      <c r="C17">
        <v>62</v>
      </c>
      <c r="D17">
        <v>50</v>
      </c>
      <c r="E17">
        <v>62</v>
      </c>
      <c r="F17">
        <v>78</v>
      </c>
      <c r="G17">
        <v>89</v>
      </c>
    </row>
    <row r="18" spans="1:7" x14ac:dyDescent="0.25">
      <c r="A18" t="s">
        <v>92</v>
      </c>
      <c r="B18" t="s">
        <v>79</v>
      </c>
      <c r="C18">
        <v>63</v>
      </c>
      <c r="D18">
        <v>84</v>
      </c>
      <c r="E18">
        <v>89</v>
      </c>
      <c r="F18">
        <v>81</v>
      </c>
      <c r="G18">
        <v>93</v>
      </c>
    </row>
    <row r="19" spans="1:7" x14ac:dyDescent="0.25">
      <c r="A19" t="s">
        <v>93</v>
      </c>
      <c r="B19" t="s">
        <v>77</v>
      </c>
      <c r="C19">
        <v>86</v>
      </c>
      <c r="D19">
        <v>83</v>
      </c>
      <c r="E19">
        <v>54</v>
      </c>
      <c r="F19">
        <v>81</v>
      </c>
      <c r="G19">
        <v>89</v>
      </c>
    </row>
    <row r="20" spans="1:7" x14ac:dyDescent="0.25">
      <c r="A20" t="s">
        <v>94</v>
      </c>
      <c r="B20" t="s">
        <v>77</v>
      </c>
      <c r="C20">
        <v>82</v>
      </c>
      <c r="D20">
        <v>98</v>
      </c>
      <c r="E20">
        <v>81</v>
      </c>
      <c r="F20">
        <v>85</v>
      </c>
      <c r="G20">
        <v>86</v>
      </c>
    </row>
    <row r="21" spans="1:7" x14ac:dyDescent="0.25">
      <c r="A21" t="s">
        <v>95</v>
      </c>
      <c r="B21" t="s">
        <v>79</v>
      </c>
      <c r="C21">
        <v>60</v>
      </c>
      <c r="D21">
        <v>70</v>
      </c>
      <c r="E21">
        <v>81</v>
      </c>
      <c r="F21">
        <v>66</v>
      </c>
      <c r="G21">
        <v>98</v>
      </c>
    </row>
    <row r="22" spans="1:7" x14ac:dyDescent="0.25">
      <c r="A22" t="s">
        <v>96</v>
      </c>
      <c r="B22" t="s">
        <v>79</v>
      </c>
      <c r="C22">
        <v>62</v>
      </c>
      <c r="D22">
        <v>87</v>
      </c>
      <c r="E22">
        <v>69</v>
      </c>
      <c r="F22">
        <v>67</v>
      </c>
      <c r="G22">
        <v>70</v>
      </c>
    </row>
    <row r="23" spans="1:7" x14ac:dyDescent="0.25">
      <c r="A23" t="s">
        <v>97</v>
      </c>
      <c r="B23" t="s">
        <v>77</v>
      </c>
      <c r="C23">
        <v>94</v>
      </c>
      <c r="D23">
        <v>77</v>
      </c>
      <c r="E23">
        <v>84</v>
      </c>
      <c r="F23">
        <v>68</v>
      </c>
      <c r="G23">
        <v>94</v>
      </c>
    </row>
    <row r="24" spans="1:7" x14ac:dyDescent="0.25">
      <c r="A24" t="s">
        <v>98</v>
      </c>
      <c r="B24" t="s">
        <v>79</v>
      </c>
      <c r="C24">
        <v>58</v>
      </c>
      <c r="D24">
        <v>75</v>
      </c>
      <c r="E24">
        <v>68</v>
      </c>
      <c r="F24">
        <v>69</v>
      </c>
      <c r="G24">
        <v>84</v>
      </c>
    </row>
    <row r="25" spans="1:7" x14ac:dyDescent="0.25">
      <c r="A25" t="s">
        <v>99</v>
      </c>
      <c r="B25" t="s">
        <v>77</v>
      </c>
      <c r="C25">
        <v>62</v>
      </c>
      <c r="D25">
        <v>95</v>
      </c>
      <c r="E25">
        <v>71</v>
      </c>
      <c r="F25">
        <v>66</v>
      </c>
      <c r="G25">
        <v>74</v>
      </c>
    </row>
  </sheetData>
  <mergeCells count="1">
    <mergeCell ref="A1:G1"/>
  </mergeCells>
  <conditionalFormatting sqref="G4:G25">
    <cfRule type="cellIs" dxfId="2" priority="1" operator="greaterThan">
      <formula>87</formula>
    </cfRule>
    <cfRule type="cellIs" dxfId="1" priority="4" operator="lessThan">
      <formula>80</formula>
    </cfRule>
  </conditionalFormatting>
  <conditionalFormatting sqref="G5:G25">
    <cfRule type="cellIs" dxfId="0" priority="3" operator="between">
      <formula>80</formula>
      <formula>87</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76F64-967E-48F2-9314-7FD64E089FD1}">
  <sheetPr codeName="Hoja6"/>
  <dimension ref="A1:I31"/>
  <sheetViews>
    <sheetView topLeftCell="C1" workbookViewId="0">
      <selection activeCell="H3" sqref="H3:H4"/>
    </sheetView>
  </sheetViews>
  <sheetFormatPr baseColWidth="10" defaultRowHeight="15" x14ac:dyDescent="0.25"/>
  <cols>
    <col min="1" max="1" width="8.7109375" bestFit="1" customWidth="1"/>
    <col min="2" max="2" width="22.140625" bestFit="1" customWidth="1"/>
    <col min="3" max="3" width="37" bestFit="1" customWidth="1"/>
    <col min="4" max="4" width="9" bestFit="1" customWidth="1"/>
    <col min="5" max="5" width="12.42578125" bestFit="1" customWidth="1"/>
    <col min="6" max="6" width="16.42578125" bestFit="1" customWidth="1"/>
  </cols>
  <sheetData>
    <row r="1" spans="1:9" x14ac:dyDescent="0.25">
      <c r="A1" s="15" t="s">
        <v>100</v>
      </c>
      <c r="B1" s="15" t="s">
        <v>101</v>
      </c>
      <c r="C1" s="15" t="s">
        <v>102</v>
      </c>
      <c r="D1" s="15" t="s">
        <v>103</v>
      </c>
      <c r="E1" s="15" t="s">
        <v>104</v>
      </c>
      <c r="F1" s="16" t="s">
        <v>105</v>
      </c>
    </row>
    <row r="2" spans="1:9" x14ac:dyDescent="0.25">
      <c r="A2" s="17" t="s">
        <v>106</v>
      </c>
      <c r="B2" s="17" t="s">
        <v>107</v>
      </c>
      <c r="C2" s="18" t="s">
        <v>108</v>
      </c>
      <c r="D2" s="19">
        <v>168</v>
      </c>
      <c r="E2" s="19"/>
      <c r="F2" s="20">
        <v>152.88</v>
      </c>
      <c r="H2" s="36" t="s">
        <v>176</v>
      </c>
      <c r="I2" s="37"/>
    </row>
    <row r="3" spans="1:9" x14ac:dyDescent="0.25">
      <c r="A3" s="17" t="s">
        <v>109</v>
      </c>
      <c r="B3" s="17" t="s">
        <v>110</v>
      </c>
      <c r="C3" s="18" t="s">
        <v>108</v>
      </c>
      <c r="D3" s="19">
        <v>168</v>
      </c>
      <c r="E3" s="19"/>
      <c r="F3" s="20">
        <v>152.88</v>
      </c>
      <c r="H3" s="38"/>
    </row>
    <row r="4" spans="1:9" x14ac:dyDescent="0.25">
      <c r="A4" s="17" t="s">
        <v>111</v>
      </c>
      <c r="B4" s="17" t="s">
        <v>112</v>
      </c>
      <c r="C4" s="18" t="s">
        <v>113</v>
      </c>
      <c r="D4" s="19">
        <v>184</v>
      </c>
      <c r="E4" s="19" t="s">
        <v>175</v>
      </c>
      <c r="F4" s="20">
        <v>184</v>
      </c>
      <c r="H4" s="39"/>
    </row>
    <row r="5" spans="1:9" x14ac:dyDescent="0.25">
      <c r="A5" s="17" t="s">
        <v>114</v>
      </c>
      <c r="B5" s="17" t="s">
        <v>115</v>
      </c>
      <c r="C5" s="18" t="s">
        <v>113</v>
      </c>
      <c r="D5" s="19">
        <v>184</v>
      </c>
      <c r="E5" s="19"/>
      <c r="F5" s="20">
        <v>178.48</v>
      </c>
    </row>
    <row r="6" spans="1:9" x14ac:dyDescent="0.25">
      <c r="A6" s="17" t="s">
        <v>116</v>
      </c>
      <c r="B6" s="17" t="s">
        <v>117</v>
      </c>
      <c r="C6" s="18" t="s">
        <v>113</v>
      </c>
      <c r="D6" s="19">
        <v>184</v>
      </c>
      <c r="E6" s="19"/>
      <c r="F6" s="20">
        <v>178.48</v>
      </c>
    </row>
    <row r="7" spans="1:9" x14ac:dyDescent="0.25">
      <c r="A7" s="17" t="s">
        <v>118</v>
      </c>
      <c r="B7" s="17" t="s">
        <v>119</v>
      </c>
      <c r="C7" s="18" t="s">
        <v>120</v>
      </c>
      <c r="D7" s="19">
        <v>146</v>
      </c>
      <c r="E7" s="19"/>
      <c r="F7" s="20">
        <v>144.54</v>
      </c>
    </row>
    <row r="8" spans="1:9" x14ac:dyDescent="0.25">
      <c r="A8" s="17" t="s">
        <v>121</v>
      </c>
      <c r="B8" s="17" t="s">
        <v>122</v>
      </c>
      <c r="C8" s="18" t="s">
        <v>123</v>
      </c>
      <c r="D8" s="19">
        <v>201</v>
      </c>
      <c r="E8" s="19" t="s">
        <v>175</v>
      </c>
      <c r="F8" s="20">
        <v>201</v>
      </c>
    </row>
    <row r="9" spans="1:9" x14ac:dyDescent="0.25">
      <c r="A9" s="17" t="s">
        <v>124</v>
      </c>
      <c r="B9" s="17" t="s">
        <v>125</v>
      </c>
      <c r="C9" s="18" t="s">
        <v>126</v>
      </c>
      <c r="D9" s="19">
        <v>198</v>
      </c>
      <c r="E9" s="19"/>
      <c r="F9" s="20">
        <v>188.1</v>
      </c>
    </row>
    <row r="10" spans="1:9" x14ac:dyDescent="0.25">
      <c r="A10" s="17" t="s">
        <v>127</v>
      </c>
      <c r="B10" s="17" t="s">
        <v>128</v>
      </c>
      <c r="C10" s="18" t="s">
        <v>126</v>
      </c>
      <c r="D10" s="19">
        <v>198</v>
      </c>
      <c r="E10" s="19"/>
      <c r="F10" s="20">
        <v>178.2</v>
      </c>
    </row>
    <row r="11" spans="1:9" x14ac:dyDescent="0.25">
      <c r="A11" s="17" t="s">
        <v>129</v>
      </c>
      <c r="B11" s="17" t="s">
        <v>130</v>
      </c>
      <c r="C11" s="18" t="s">
        <v>131</v>
      </c>
      <c r="D11" s="19">
        <v>192</v>
      </c>
      <c r="E11" s="19" t="s">
        <v>175</v>
      </c>
      <c r="F11" s="20">
        <v>192</v>
      </c>
    </row>
    <row r="12" spans="1:9" x14ac:dyDescent="0.25">
      <c r="A12" s="21" t="s">
        <v>132</v>
      </c>
      <c r="B12" s="17" t="s">
        <v>133</v>
      </c>
      <c r="C12" s="22" t="s">
        <v>134</v>
      </c>
      <c r="D12" s="23">
        <v>195</v>
      </c>
      <c r="E12" s="19" t="s">
        <v>175</v>
      </c>
      <c r="F12" s="24">
        <v>195</v>
      </c>
    </row>
    <row r="13" spans="1:9" x14ac:dyDescent="0.25">
      <c r="A13" s="17" t="s">
        <v>135</v>
      </c>
      <c r="B13" s="17" t="s">
        <v>136</v>
      </c>
      <c r="C13" s="18" t="s">
        <v>137</v>
      </c>
      <c r="D13" s="19">
        <v>202</v>
      </c>
      <c r="E13" s="19"/>
      <c r="F13" s="20">
        <v>183.82</v>
      </c>
    </row>
    <row r="14" spans="1:9" x14ac:dyDescent="0.25">
      <c r="A14" s="17" t="s">
        <v>138</v>
      </c>
      <c r="B14" s="17" t="s">
        <v>139</v>
      </c>
      <c r="C14" s="18" t="s">
        <v>137</v>
      </c>
      <c r="D14" s="19">
        <v>202</v>
      </c>
      <c r="E14" s="19"/>
      <c r="F14" s="20">
        <v>189.88</v>
      </c>
    </row>
    <row r="15" spans="1:9" x14ac:dyDescent="0.25">
      <c r="A15" s="17" t="s">
        <v>140</v>
      </c>
      <c r="B15" s="17" t="s">
        <v>141</v>
      </c>
      <c r="C15" s="18" t="s">
        <v>137</v>
      </c>
      <c r="D15" s="19">
        <v>202</v>
      </c>
      <c r="E15" s="19" t="s">
        <v>175</v>
      </c>
      <c r="F15" s="20">
        <v>202</v>
      </c>
    </row>
    <row r="16" spans="1:9" x14ac:dyDescent="0.25">
      <c r="A16" s="17" t="s">
        <v>142</v>
      </c>
      <c r="B16" s="17" t="s">
        <v>143</v>
      </c>
      <c r="C16" s="18" t="s">
        <v>137</v>
      </c>
      <c r="D16" s="19">
        <v>202</v>
      </c>
      <c r="E16" s="19"/>
      <c r="F16" s="20">
        <v>189.88</v>
      </c>
    </row>
    <row r="17" spans="1:6" x14ac:dyDescent="0.25">
      <c r="A17" s="17" t="s">
        <v>132</v>
      </c>
      <c r="B17" s="17" t="s">
        <v>144</v>
      </c>
      <c r="C17" s="18" t="s">
        <v>145</v>
      </c>
      <c r="D17" s="19">
        <v>199</v>
      </c>
      <c r="E17" s="19"/>
      <c r="F17" s="20">
        <v>185.07</v>
      </c>
    </row>
    <row r="18" spans="1:6" x14ac:dyDescent="0.25">
      <c r="A18" s="17" t="s">
        <v>146</v>
      </c>
      <c r="B18" s="17" t="s">
        <v>147</v>
      </c>
      <c r="C18" s="18" t="s">
        <v>145</v>
      </c>
      <c r="D18" s="19">
        <v>199</v>
      </c>
      <c r="E18" s="19"/>
      <c r="F18" s="20">
        <v>183.08</v>
      </c>
    </row>
    <row r="19" spans="1:6" x14ac:dyDescent="0.25">
      <c r="A19" s="17" t="s">
        <v>116</v>
      </c>
      <c r="B19" s="17" t="s">
        <v>148</v>
      </c>
      <c r="C19" s="18" t="s">
        <v>145</v>
      </c>
      <c r="D19" s="19">
        <v>199</v>
      </c>
      <c r="E19" s="19" t="s">
        <v>175</v>
      </c>
      <c r="F19" s="20">
        <v>179.1</v>
      </c>
    </row>
    <row r="20" spans="1:6" x14ac:dyDescent="0.25">
      <c r="A20" s="17" t="s">
        <v>114</v>
      </c>
      <c r="B20" s="17" t="s">
        <v>149</v>
      </c>
      <c r="C20" s="18" t="s">
        <v>150</v>
      </c>
      <c r="D20" s="19">
        <v>170</v>
      </c>
      <c r="E20" s="19"/>
      <c r="F20" s="20">
        <v>161.5</v>
      </c>
    </row>
    <row r="21" spans="1:6" x14ac:dyDescent="0.25">
      <c r="A21" s="17" t="s">
        <v>151</v>
      </c>
      <c r="B21" s="17" t="s">
        <v>152</v>
      </c>
      <c r="C21" s="18" t="s">
        <v>150</v>
      </c>
      <c r="D21" s="19">
        <v>170</v>
      </c>
      <c r="E21" s="19"/>
      <c r="F21" s="20">
        <v>158.1</v>
      </c>
    </row>
    <row r="22" spans="1:6" x14ac:dyDescent="0.25">
      <c r="A22" s="17" t="s">
        <v>153</v>
      </c>
      <c r="B22" s="17" t="s">
        <v>154</v>
      </c>
      <c r="C22" s="18" t="s">
        <v>155</v>
      </c>
      <c r="D22" s="19">
        <v>194</v>
      </c>
      <c r="E22" s="19"/>
      <c r="F22" s="20">
        <v>188.18</v>
      </c>
    </row>
    <row r="23" spans="1:6" x14ac:dyDescent="0.25">
      <c r="A23" s="17" t="s">
        <v>156</v>
      </c>
      <c r="B23" s="17" t="s">
        <v>157</v>
      </c>
      <c r="C23" s="18" t="s">
        <v>155</v>
      </c>
      <c r="D23" s="19">
        <v>194</v>
      </c>
      <c r="E23" s="19"/>
      <c r="F23" s="20">
        <v>192.06</v>
      </c>
    </row>
    <row r="24" spans="1:6" x14ac:dyDescent="0.25">
      <c r="A24" s="17" t="s">
        <v>140</v>
      </c>
      <c r="B24" s="17" t="s">
        <v>158</v>
      </c>
      <c r="C24" s="18" t="s">
        <v>159</v>
      </c>
      <c r="D24" s="19">
        <v>214</v>
      </c>
      <c r="E24" s="19" t="s">
        <v>175</v>
      </c>
      <c r="F24" s="20">
        <v>209.72</v>
      </c>
    </row>
    <row r="25" spans="1:6" x14ac:dyDescent="0.25">
      <c r="A25" s="17" t="s">
        <v>160</v>
      </c>
      <c r="B25" s="17" t="s">
        <v>161</v>
      </c>
      <c r="C25" s="18" t="s">
        <v>162</v>
      </c>
      <c r="D25" s="19">
        <v>217</v>
      </c>
      <c r="E25" s="19" t="s">
        <v>175</v>
      </c>
      <c r="F25" s="20">
        <v>210.49</v>
      </c>
    </row>
    <row r="26" spans="1:6" x14ac:dyDescent="0.25">
      <c r="A26" s="17" t="s">
        <v>163</v>
      </c>
      <c r="B26" s="17" t="s">
        <v>164</v>
      </c>
      <c r="C26" s="18" t="s">
        <v>108</v>
      </c>
      <c r="D26" s="19">
        <v>168</v>
      </c>
      <c r="E26" s="19" t="s">
        <v>175</v>
      </c>
      <c r="F26" s="20">
        <v>157.91999999999999</v>
      </c>
    </row>
    <row r="27" spans="1:6" x14ac:dyDescent="0.25">
      <c r="A27" s="17" t="s">
        <v>165</v>
      </c>
      <c r="B27" s="17" t="s">
        <v>166</v>
      </c>
      <c r="C27" s="18" t="s">
        <v>113</v>
      </c>
      <c r="D27" s="19">
        <v>184</v>
      </c>
      <c r="E27" s="19"/>
      <c r="F27" s="20">
        <v>182.16</v>
      </c>
    </row>
    <row r="28" spans="1:6" x14ac:dyDescent="0.25">
      <c r="A28" s="17" t="s">
        <v>167</v>
      </c>
      <c r="B28" s="17" t="s">
        <v>168</v>
      </c>
      <c r="C28" s="18" t="s">
        <v>169</v>
      </c>
      <c r="D28" s="19">
        <v>101</v>
      </c>
      <c r="E28" s="19"/>
      <c r="F28" s="20">
        <v>90.9</v>
      </c>
    </row>
    <row r="29" spans="1:6" x14ac:dyDescent="0.25">
      <c r="A29" s="17" t="s">
        <v>163</v>
      </c>
      <c r="B29" s="17" t="s">
        <v>170</v>
      </c>
      <c r="C29" s="18" t="s">
        <v>169</v>
      </c>
      <c r="D29" s="19">
        <v>101</v>
      </c>
      <c r="E29" s="19"/>
      <c r="F29" s="20">
        <v>99.99</v>
      </c>
    </row>
    <row r="30" spans="1:6" x14ac:dyDescent="0.25">
      <c r="A30" s="17" t="s">
        <v>171</v>
      </c>
      <c r="B30" s="17" t="s">
        <v>172</v>
      </c>
      <c r="C30" s="18" t="s">
        <v>123</v>
      </c>
      <c r="D30" s="19">
        <v>201</v>
      </c>
      <c r="E30" s="19" t="s">
        <v>175</v>
      </c>
      <c r="F30" s="20">
        <v>201</v>
      </c>
    </row>
    <row r="31" spans="1:6" x14ac:dyDescent="0.25">
      <c r="A31" s="17" t="s">
        <v>173</v>
      </c>
      <c r="B31" s="17" t="s">
        <v>174</v>
      </c>
      <c r="C31" s="18" t="s">
        <v>123</v>
      </c>
      <c r="D31" s="19">
        <v>201</v>
      </c>
      <c r="E31" s="19"/>
      <c r="F31" s="20">
        <v>198.99</v>
      </c>
    </row>
  </sheetData>
  <mergeCells count="2">
    <mergeCell ref="H2:I2"/>
    <mergeCell ref="H3:H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8D33-6D1C-4848-9E76-17AF7D5C0FA4}">
  <sheetPr codeName="Hoja7"/>
  <dimension ref="A1:E25"/>
  <sheetViews>
    <sheetView workbookViewId="0">
      <selection activeCell="C7" sqref="C7"/>
    </sheetView>
  </sheetViews>
  <sheetFormatPr baseColWidth="10" defaultRowHeight="15" x14ac:dyDescent="0.25"/>
  <cols>
    <col min="1" max="1" width="49.85546875" bestFit="1" customWidth="1"/>
    <col min="4" max="4" width="49.85546875" bestFit="1" customWidth="1"/>
    <col min="5" max="5" width="7" bestFit="1" customWidth="1"/>
  </cols>
  <sheetData>
    <row r="1" spans="1:5" x14ac:dyDescent="0.25">
      <c r="A1" s="40" t="s">
        <v>193</v>
      </c>
      <c r="B1" s="40"/>
    </row>
    <row r="2" spans="1:5" x14ac:dyDescent="0.25">
      <c r="A2" s="40"/>
      <c r="B2" s="40"/>
    </row>
    <row r="4" spans="1:5" ht="15.75" thickBot="1" x14ac:dyDescent="0.3">
      <c r="A4" s="27" t="s">
        <v>1</v>
      </c>
      <c r="B4" s="27" t="s">
        <v>177</v>
      </c>
      <c r="D4" s="28" t="s">
        <v>1</v>
      </c>
      <c r="E4" s="28" t="s">
        <v>177</v>
      </c>
    </row>
    <row r="5" spans="1:5" ht="15.75" thickTop="1" x14ac:dyDescent="0.25">
      <c r="A5" s="26" t="s">
        <v>178</v>
      </c>
      <c r="B5" s="25">
        <v>0.95</v>
      </c>
      <c r="D5" s="29"/>
      <c r="E5" s="30"/>
    </row>
    <row r="6" spans="1:5" x14ac:dyDescent="0.25">
      <c r="A6" s="26" t="s">
        <v>179</v>
      </c>
      <c r="B6" s="25">
        <v>1.75</v>
      </c>
      <c r="D6" s="29"/>
      <c r="E6" s="30"/>
    </row>
    <row r="7" spans="1:5" x14ac:dyDescent="0.25">
      <c r="A7" s="26" t="s">
        <v>180</v>
      </c>
      <c r="B7" s="25">
        <v>1.1499999999999999</v>
      </c>
      <c r="D7" s="29"/>
      <c r="E7" s="30"/>
    </row>
    <row r="8" spans="1:5" x14ac:dyDescent="0.25">
      <c r="A8" s="26" t="s">
        <v>181</v>
      </c>
      <c r="B8" s="25">
        <v>1.2</v>
      </c>
      <c r="D8" s="29"/>
      <c r="E8" s="30"/>
    </row>
    <row r="9" spans="1:5" x14ac:dyDescent="0.25">
      <c r="A9" s="26" t="s">
        <v>179</v>
      </c>
      <c r="B9" s="25">
        <v>1.78</v>
      </c>
      <c r="D9" s="29"/>
      <c r="E9" s="30"/>
    </row>
    <row r="10" spans="1:5" x14ac:dyDescent="0.25">
      <c r="A10" s="26" t="s">
        <v>182</v>
      </c>
      <c r="B10" s="25">
        <v>1.4</v>
      </c>
      <c r="D10" s="29"/>
      <c r="E10" s="30"/>
    </row>
    <row r="11" spans="1:5" x14ac:dyDescent="0.25">
      <c r="A11" s="26" t="s">
        <v>183</v>
      </c>
      <c r="B11" s="25">
        <v>1.8</v>
      </c>
      <c r="D11" s="29"/>
      <c r="E11" s="30"/>
    </row>
    <row r="12" spans="1:5" x14ac:dyDescent="0.25">
      <c r="A12" s="26" t="s">
        <v>184</v>
      </c>
      <c r="B12" s="25">
        <v>2.65</v>
      </c>
      <c r="D12" s="29"/>
      <c r="E12" s="30"/>
    </row>
    <row r="13" spans="1:5" x14ac:dyDescent="0.25">
      <c r="A13" s="26" t="s">
        <v>184</v>
      </c>
      <c r="B13" s="25">
        <v>2.6</v>
      </c>
      <c r="D13" s="29"/>
      <c r="E13" s="30"/>
    </row>
    <row r="14" spans="1:5" x14ac:dyDescent="0.25">
      <c r="A14" s="26" t="s">
        <v>185</v>
      </c>
      <c r="B14" s="25">
        <v>1.1000000000000001</v>
      </c>
      <c r="D14" s="29"/>
      <c r="E14" s="30"/>
    </row>
    <row r="15" spans="1:5" x14ac:dyDescent="0.25">
      <c r="A15" s="26" t="s">
        <v>186</v>
      </c>
      <c r="B15" s="25">
        <v>0.68</v>
      </c>
      <c r="D15" s="29"/>
      <c r="E15" s="30"/>
    </row>
    <row r="16" spans="1:5" x14ac:dyDescent="0.25">
      <c r="A16" s="26" t="s">
        <v>187</v>
      </c>
      <c r="B16" s="25">
        <v>2.35</v>
      </c>
      <c r="D16" s="29"/>
      <c r="E16" s="30"/>
    </row>
    <row r="17" spans="1:5" x14ac:dyDescent="0.25">
      <c r="A17" s="26" t="s">
        <v>183</v>
      </c>
      <c r="B17" s="25">
        <v>1.85</v>
      </c>
      <c r="D17" s="29"/>
      <c r="E17" s="30"/>
    </row>
    <row r="18" spans="1:5" x14ac:dyDescent="0.25">
      <c r="A18" s="26" t="s">
        <v>185</v>
      </c>
      <c r="B18" s="25">
        <v>1.1200000000000001</v>
      </c>
      <c r="D18" s="29"/>
      <c r="E18" s="30"/>
    </row>
    <row r="19" spans="1:5" x14ac:dyDescent="0.25">
      <c r="A19" s="26" t="s">
        <v>188</v>
      </c>
      <c r="B19" s="25">
        <v>1.35</v>
      </c>
      <c r="D19" s="29"/>
      <c r="E19" s="30"/>
    </row>
    <row r="20" spans="1:5" x14ac:dyDescent="0.25">
      <c r="A20" s="26" t="s">
        <v>189</v>
      </c>
      <c r="B20" s="25">
        <v>1.65</v>
      </c>
      <c r="D20" s="29"/>
      <c r="E20" s="30"/>
    </row>
    <row r="21" spans="1:5" x14ac:dyDescent="0.25">
      <c r="A21" s="26" t="s">
        <v>190</v>
      </c>
      <c r="B21" s="25">
        <v>2.25</v>
      </c>
      <c r="D21" s="29"/>
      <c r="E21" s="30"/>
    </row>
    <row r="22" spans="1:5" x14ac:dyDescent="0.25">
      <c r="A22" s="26" t="s">
        <v>184</v>
      </c>
      <c r="B22" s="25">
        <v>2.57</v>
      </c>
      <c r="D22" s="29"/>
      <c r="E22" s="30"/>
    </row>
    <row r="23" spans="1:5" x14ac:dyDescent="0.25">
      <c r="A23" s="26" t="s">
        <v>186</v>
      </c>
      <c r="B23" s="25">
        <v>0.71</v>
      </c>
      <c r="D23" s="29"/>
      <c r="E23" s="30"/>
    </row>
    <row r="24" spans="1:5" x14ac:dyDescent="0.25">
      <c r="A24" s="26" t="s">
        <v>191</v>
      </c>
      <c r="B24" s="25">
        <v>4.5199999999999996</v>
      </c>
      <c r="D24" s="29"/>
      <c r="E24" s="30"/>
    </row>
    <row r="25" spans="1:5" x14ac:dyDescent="0.25">
      <c r="A25" s="26" t="s">
        <v>192</v>
      </c>
      <c r="B25" s="25">
        <v>4.3499999999999996</v>
      </c>
      <c r="D25" s="29"/>
      <c r="E25" s="30"/>
    </row>
  </sheetData>
  <mergeCells count="1">
    <mergeCell ref="A1:B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38058-55FE-46BA-BB90-A34A480F555F}">
  <sheetPr codeName="Hoja8"/>
  <dimension ref="A3:B18"/>
  <sheetViews>
    <sheetView topLeftCell="B1" workbookViewId="0">
      <selection activeCell="J11" sqref="J11"/>
    </sheetView>
  </sheetViews>
  <sheetFormatPr baseColWidth="10" defaultRowHeight="15" x14ac:dyDescent="0.25"/>
  <cols>
    <col min="1" max="1" width="37" bestFit="1" customWidth="1"/>
    <col min="2" max="2" width="16.28515625" bestFit="1" customWidth="1"/>
    <col min="3" max="3" width="11.140625" bestFit="1" customWidth="1"/>
    <col min="4" max="4" width="12.5703125" bestFit="1" customWidth="1"/>
  </cols>
  <sheetData>
    <row r="3" spans="1:2" x14ac:dyDescent="0.25">
      <c r="A3" s="31" t="s">
        <v>194</v>
      </c>
      <c r="B3" t="s">
        <v>195</v>
      </c>
    </row>
    <row r="4" spans="1:2" x14ac:dyDescent="0.25">
      <c r="A4" s="26" t="s">
        <v>108</v>
      </c>
      <c r="B4">
        <v>504</v>
      </c>
    </row>
    <row r="5" spans="1:2" x14ac:dyDescent="0.25">
      <c r="A5" s="26" t="s">
        <v>113</v>
      </c>
      <c r="B5">
        <v>736</v>
      </c>
    </row>
    <row r="6" spans="1:2" x14ac:dyDescent="0.25">
      <c r="A6" s="26" t="s">
        <v>120</v>
      </c>
      <c r="B6">
        <v>146</v>
      </c>
    </row>
    <row r="7" spans="1:2" x14ac:dyDescent="0.25">
      <c r="A7" s="26" t="s">
        <v>169</v>
      </c>
      <c r="B7">
        <v>202</v>
      </c>
    </row>
    <row r="8" spans="1:2" x14ac:dyDescent="0.25">
      <c r="A8" s="26" t="s">
        <v>123</v>
      </c>
      <c r="B8">
        <v>603</v>
      </c>
    </row>
    <row r="9" spans="1:2" x14ac:dyDescent="0.25">
      <c r="A9" s="26" t="s">
        <v>126</v>
      </c>
      <c r="B9">
        <v>396</v>
      </c>
    </row>
    <row r="10" spans="1:2" x14ac:dyDescent="0.25">
      <c r="A10" s="26" t="s">
        <v>131</v>
      </c>
      <c r="B10">
        <v>192</v>
      </c>
    </row>
    <row r="11" spans="1:2" x14ac:dyDescent="0.25">
      <c r="A11" s="26" t="s">
        <v>134</v>
      </c>
      <c r="B11">
        <v>195</v>
      </c>
    </row>
    <row r="12" spans="1:2" x14ac:dyDescent="0.25">
      <c r="A12" s="26" t="s">
        <v>137</v>
      </c>
      <c r="B12">
        <v>808</v>
      </c>
    </row>
    <row r="13" spans="1:2" x14ac:dyDescent="0.25">
      <c r="A13" s="26" t="s">
        <v>145</v>
      </c>
      <c r="B13">
        <v>597</v>
      </c>
    </row>
    <row r="14" spans="1:2" x14ac:dyDescent="0.25">
      <c r="A14" s="26" t="s">
        <v>150</v>
      </c>
      <c r="B14">
        <v>340</v>
      </c>
    </row>
    <row r="15" spans="1:2" x14ac:dyDescent="0.25">
      <c r="A15" s="26" t="s">
        <v>155</v>
      </c>
      <c r="B15">
        <v>388</v>
      </c>
    </row>
    <row r="16" spans="1:2" x14ac:dyDescent="0.25">
      <c r="A16" s="26" t="s">
        <v>159</v>
      </c>
      <c r="B16">
        <v>214</v>
      </c>
    </row>
    <row r="17" spans="1:2" x14ac:dyDescent="0.25">
      <c r="A17" s="26" t="s">
        <v>162</v>
      </c>
      <c r="B17">
        <v>217</v>
      </c>
    </row>
    <row r="18" spans="1:2" x14ac:dyDescent="0.25">
      <c r="A18" s="26" t="s">
        <v>196</v>
      </c>
      <c r="B18">
        <v>5538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A5C80-B1C6-42BB-87B2-039BD8E11EFE}">
  <sheetPr codeName="Hoja9"/>
  <dimension ref="A1:F25"/>
  <sheetViews>
    <sheetView workbookViewId="0">
      <selection activeCell="D6" sqref="D6"/>
    </sheetView>
  </sheetViews>
  <sheetFormatPr baseColWidth="10" defaultRowHeight="15" x14ac:dyDescent="0.25"/>
  <sheetData>
    <row r="1" spans="1:6" ht="21" x14ac:dyDescent="0.25">
      <c r="A1" s="35" t="s">
        <v>68</v>
      </c>
      <c r="B1" s="35"/>
      <c r="C1" s="35"/>
      <c r="D1" s="35"/>
      <c r="E1" s="35"/>
      <c r="F1" s="35"/>
    </row>
    <row r="3" spans="1:6" x14ac:dyDescent="0.25">
      <c r="A3" s="14" t="s">
        <v>69</v>
      </c>
      <c r="B3" s="14" t="s">
        <v>70</v>
      </c>
      <c r="C3" s="14" t="s">
        <v>71</v>
      </c>
      <c r="D3" s="14" t="s">
        <v>72</v>
      </c>
      <c r="E3" s="14" t="s">
        <v>73</v>
      </c>
      <c r="F3" s="14" t="s">
        <v>74</v>
      </c>
    </row>
    <row r="4" spans="1:6" x14ac:dyDescent="0.25">
      <c r="A4" t="s">
        <v>76</v>
      </c>
      <c r="B4" t="s">
        <v>77</v>
      </c>
      <c r="C4">
        <v>79</v>
      </c>
      <c r="D4">
        <v>46</v>
      </c>
      <c r="E4">
        <v>59</v>
      </c>
      <c r="F4">
        <v>72</v>
      </c>
    </row>
    <row r="5" spans="1:6" x14ac:dyDescent="0.25">
      <c r="A5" t="s">
        <v>83</v>
      </c>
      <c r="B5" t="s">
        <v>77</v>
      </c>
      <c r="C5">
        <v>69</v>
      </c>
      <c r="D5">
        <v>57</v>
      </c>
      <c r="E5">
        <v>69</v>
      </c>
      <c r="F5">
        <v>88</v>
      </c>
    </row>
    <row r="6" spans="1:6" x14ac:dyDescent="0.25">
      <c r="A6" t="s">
        <v>86</v>
      </c>
      <c r="B6" t="s">
        <v>77</v>
      </c>
      <c r="C6">
        <v>66</v>
      </c>
      <c r="D6">
        <v>61</v>
      </c>
      <c r="E6">
        <v>69</v>
      </c>
      <c r="F6">
        <v>75</v>
      </c>
    </row>
    <row r="7" spans="1:6" x14ac:dyDescent="0.25">
      <c r="A7" t="s">
        <v>87</v>
      </c>
      <c r="B7" t="s">
        <v>77</v>
      </c>
      <c r="C7">
        <v>82</v>
      </c>
      <c r="D7">
        <v>71</v>
      </c>
      <c r="E7">
        <v>69</v>
      </c>
      <c r="F7">
        <v>86</v>
      </c>
    </row>
    <row r="8" spans="1:6" x14ac:dyDescent="0.25">
      <c r="A8" t="s">
        <v>88</v>
      </c>
      <c r="B8" t="s">
        <v>77</v>
      </c>
      <c r="C8">
        <v>65</v>
      </c>
      <c r="D8">
        <v>99</v>
      </c>
      <c r="E8">
        <v>58</v>
      </c>
      <c r="F8">
        <v>85</v>
      </c>
    </row>
    <row r="9" spans="1:6" x14ac:dyDescent="0.25">
      <c r="A9" t="s">
        <v>89</v>
      </c>
      <c r="B9" t="s">
        <v>77</v>
      </c>
      <c r="C9">
        <v>82</v>
      </c>
      <c r="D9">
        <v>64</v>
      </c>
      <c r="E9">
        <v>95</v>
      </c>
      <c r="F9">
        <v>84</v>
      </c>
    </row>
    <row r="10" spans="1:6" x14ac:dyDescent="0.25">
      <c r="A10" t="s">
        <v>93</v>
      </c>
      <c r="B10" t="s">
        <v>77</v>
      </c>
      <c r="C10">
        <v>86</v>
      </c>
      <c r="D10">
        <v>83</v>
      </c>
      <c r="E10">
        <v>54</v>
      </c>
      <c r="F10">
        <v>81</v>
      </c>
    </row>
    <row r="11" spans="1:6" x14ac:dyDescent="0.25">
      <c r="A11" t="s">
        <v>94</v>
      </c>
      <c r="B11" t="s">
        <v>77</v>
      </c>
      <c r="C11">
        <v>82</v>
      </c>
      <c r="D11">
        <v>98</v>
      </c>
      <c r="E11">
        <v>81</v>
      </c>
      <c r="F11">
        <v>85</v>
      </c>
    </row>
    <row r="12" spans="1:6" x14ac:dyDescent="0.25">
      <c r="A12" t="s">
        <v>97</v>
      </c>
      <c r="B12" t="s">
        <v>77</v>
      </c>
      <c r="C12">
        <v>94</v>
      </c>
      <c r="D12">
        <v>77</v>
      </c>
      <c r="E12">
        <v>84</v>
      </c>
      <c r="F12">
        <v>68</v>
      </c>
    </row>
    <row r="13" spans="1:6" x14ac:dyDescent="0.25">
      <c r="A13" t="s">
        <v>99</v>
      </c>
      <c r="B13" t="s">
        <v>77</v>
      </c>
      <c r="C13">
        <v>62</v>
      </c>
      <c r="D13">
        <v>95</v>
      </c>
      <c r="E13">
        <v>71</v>
      </c>
      <c r="F13">
        <v>66</v>
      </c>
    </row>
    <row r="14" spans="1:6" x14ac:dyDescent="0.25">
      <c r="A14" t="s">
        <v>78</v>
      </c>
      <c r="B14" t="s">
        <v>79</v>
      </c>
      <c r="C14">
        <v>76</v>
      </c>
      <c r="D14">
        <v>86</v>
      </c>
      <c r="E14">
        <v>62</v>
      </c>
      <c r="F14">
        <v>69</v>
      </c>
    </row>
    <row r="15" spans="1:6" x14ac:dyDescent="0.25">
      <c r="A15" t="s">
        <v>80</v>
      </c>
      <c r="B15" t="s">
        <v>79</v>
      </c>
      <c r="C15">
        <v>41</v>
      </c>
      <c r="D15">
        <v>74</v>
      </c>
      <c r="E15">
        <v>41</v>
      </c>
      <c r="F15">
        <v>84</v>
      </c>
    </row>
    <row r="16" spans="1:6" x14ac:dyDescent="0.25">
      <c r="A16" t="s">
        <v>81</v>
      </c>
      <c r="B16" t="s">
        <v>79</v>
      </c>
      <c r="C16">
        <v>57</v>
      </c>
      <c r="D16">
        <v>85</v>
      </c>
      <c r="E16">
        <v>62</v>
      </c>
      <c r="F16">
        <v>63</v>
      </c>
    </row>
    <row r="17" spans="1:6" x14ac:dyDescent="0.25">
      <c r="A17" t="s">
        <v>82</v>
      </c>
      <c r="B17" t="s">
        <v>79</v>
      </c>
      <c r="C17">
        <v>59</v>
      </c>
      <c r="D17">
        <v>62</v>
      </c>
      <c r="E17">
        <v>67</v>
      </c>
      <c r="F17">
        <v>81</v>
      </c>
    </row>
    <row r="18" spans="1:6" x14ac:dyDescent="0.25">
      <c r="A18" t="s">
        <v>84</v>
      </c>
      <c r="B18" t="s">
        <v>79</v>
      </c>
      <c r="C18">
        <v>91</v>
      </c>
      <c r="D18">
        <v>74</v>
      </c>
      <c r="E18">
        <v>84</v>
      </c>
      <c r="F18">
        <v>73</v>
      </c>
    </row>
    <row r="19" spans="1:6" x14ac:dyDescent="0.25">
      <c r="A19" t="s">
        <v>85</v>
      </c>
      <c r="B19" t="s">
        <v>79</v>
      </c>
      <c r="C19">
        <v>61</v>
      </c>
      <c r="D19">
        <v>76</v>
      </c>
      <c r="E19">
        <v>69</v>
      </c>
      <c r="F19">
        <v>73</v>
      </c>
    </row>
    <row r="20" spans="1:6" x14ac:dyDescent="0.25">
      <c r="A20" t="s">
        <v>90</v>
      </c>
      <c r="B20" t="s">
        <v>79</v>
      </c>
      <c r="C20">
        <v>61</v>
      </c>
      <c r="D20">
        <v>64</v>
      </c>
      <c r="E20">
        <v>56</v>
      </c>
      <c r="F20">
        <v>70</v>
      </c>
    </row>
    <row r="21" spans="1:6" x14ac:dyDescent="0.25">
      <c r="A21" t="s">
        <v>91</v>
      </c>
      <c r="B21" t="s">
        <v>79</v>
      </c>
      <c r="C21">
        <v>62</v>
      </c>
      <c r="D21">
        <v>50</v>
      </c>
      <c r="E21">
        <v>62</v>
      </c>
      <c r="F21">
        <v>78</v>
      </c>
    </row>
    <row r="22" spans="1:6" x14ac:dyDescent="0.25">
      <c r="A22" t="s">
        <v>92</v>
      </c>
      <c r="B22" t="s">
        <v>79</v>
      </c>
      <c r="C22">
        <v>63</v>
      </c>
      <c r="D22">
        <v>84</v>
      </c>
      <c r="E22">
        <v>89</v>
      </c>
      <c r="F22">
        <v>81</v>
      </c>
    </row>
    <row r="23" spans="1:6" x14ac:dyDescent="0.25">
      <c r="A23" t="s">
        <v>95</v>
      </c>
      <c r="B23" t="s">
        <v>79</v>
      </c>
      <c r="C23">
        <v>60</v>
      </c>
      <c r="D23">
        <v>70</v>
      </c>
      <c r="E23">
        <v>81</v>
      </c>
      <c r="F23">
        <v>66</v>
      </c>
    </row>
    <row r="24" spans="1:6" x14ac:dyDescent="0.25">
      <c r="A24" t="s">
        <v>96</v>
      </c>
      <c r="B24" t="s">
        <v>79</v>
      </c>
      <c r="C24">
        <v>62</v>
      </c>
      <c r="D24">
        <v>87</v>
      </c>
      <c r="E24">
        <v>69</v>
      </c>
      <c r="F24">
        <v>67</v>
      </c>
    </row>
    <row r="25" spans="1:6" x14ac:dyDescent="0.25">
      <c r="A25" t="s">
        <v>98</v>
      </c>
      <c r="B25" t="s">
        <v>79</v>
      </c>
      <c r="C25">
        <v>58</v>
      </c>
      <c r="D25">
        <v>75</v>
      </c>
      <c r="E25">
        <v>68</v>
      </c>
      <c r="F25">
        <v>69</v>
      </c>
    </row>
  </sheetData>
  <sortState xmlns:xlrd2="http://schemas.microsoft.com/office/spreadsheetml/2017/richdata2" ref="A4:F25">
    <sortCondition ref="B4:B25"/>
  </sortState>
  <mergeCells count="1">
    <mergeCell ref="A1:F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A3AE-05C0-422B-AE37-BA2A64DF8E79}">
  <sheetPr codeName="Hoja10"/>
  <dimension ref="A1:G25"/>
  <sheetViews>
    <sheetView workbookViewId="0">
      <selection activeCell="F10" sqref="F10"/>
    </sheetView>
  </sheetViews>
  <sheetFormatPr baseColWidth="10" defaultRowHeight="15" x14ac:dyDescent="0.25"/>
  <sheetData>
    <row r="1" spans="1:7" ht="21" x14ac:dyDescent="0.25">
      <c r="A1" s="35" t="s">
        <v>68</v>
      </c>
      <c r="B1" s="35"/>
      <c r="C1" s="35"/>
      <c r="D1" s="35"/>
      <c r="E1" s="35"/>
      <c r="F1" s="35"/>
      <c r="G1" s="35"/>
    </row>
    <row r="3" spans="1:7" x14ac:dyDescent="0.25">
      <c r="A3" s="14" t="s">
        <v>69</v>
      </c>
      <c r="B3" s="14" t="s">
        <v>70</v>
      </c>
      <c r="C3" s="14" t="s">
        <v>71</v>
      </c>
      <c r="D3" s="14" t="s">
        <v>72</v>
      </c>
      <c r="E3" s="14" t="s">
        <v>73</v>
      </c>
      <c r="F3" s="14" t="s">
        <v>74</v>
      </c>
      <c r="G3" s="32" t="s">
        <v>75</v>
      </c>
    </row>
    <row r="4" spans="1:7" x14ac:dyDescent="0.25">
      <c r="A4" t="s">
        <v>76</v>
      </c>
      <c r="B4" t="s">
        <v>77</v>
      </c>
      <c r="C4">
        <v>79</v>
      </c>
      <c r="D4">
        <v>46</v>
      </c>
      <c r="E4">
        <v>59</v>
      </c>
      <c r="F4">
        <v>72</v>
      </c>
      <c r="G4">
        <v>79</v>
      </c>
    </row>
    <row r="5" spans="1:7" x14ac:dyDescent="0.25">
      <c r="A5" t="s">
        <v>78</v>
      </c>
      <c r="B5" t="s">
        <v>79</v>
      </c>
      <c r="C5">
        <v>76</v>
      </c>
      <c r="D5">
        <v>86</v>
      </c>
      <c r="E5">
        <v>62</v>
      </c>
      <c r="F5">
        <v>69</v>
      </c>
      <c r="G5">
        <v>86</v>
      </c>
    </row>
    <row r="6" spans="1:7" x14ac:dyDescent="0.25">
      <c r="A6" t="s">
        <v>80</v>
      </c>
      <c r="B6" t="s">
        <v>79</v>
      </c>
      <c r="C6">
        <v>41</v>
      </c>
      <c r="D6">
        <v>74</v>
      </c>
      <c r="E6">
        <v>41</v>
      </c>
      <c r="F6">
        <v>84</v>
      </c>
      <c r="G6">
        <v>84</v>
      </c>
    </row>
    <row r="7" spans="1:7" x14ac:dyDescent="0.25">
      <c r="A7" t="s">
        <v>81</v>
      </c>
      <c r="B7" t="s">
        <v>79</v>
      </c>
      <c r="C7">
        <v>57</v>
      </c>
      <c r="D7">
        <v>85</v>
      </c>
      <c r="E7">
        <v>62</v>
      </c>
      <c r="F7">
        <v>63</v>
      </c>
      <c r="G7">
        <v>85</v>
      </c>
    </row>
    <row r="8" spans="1:7" x14ac:dyDescent="0.25">
      <c r="A8" t="s">
        <v>82</v>
      </c>
      <c r="B8" t="s">
        <v>79</v>
      </c>
      <c r="C8">
        <v>59</v>
      </c>
      <c r="D8">
        <v>62</v>
      </c>
      <c r="E8">
        <v>67</v>
      </c>
      <c r="F8">
        <v>81</v>
      </c>
      <c r="G8">
        <v>81</v>
      </c>
    </row>
    <row r="9" spans="1:7" x14ac:dyDescent="0.25">
      <c r="A9" t="s">
        <v>83</v>
      </c>
      <c r="B9" t="s">
        <v>77</v>
      </c>
      <c r="C9">
        <v>69</v>
      </c>
      <c r="D9">
        <v>57</v>
      </c>
      <c r="E9">
        <v>69</v>
      </c>
      <c r="F9">
        <v>88</v>
      </c>
      <c r="G9">
        <v>88</v>
      </c>
    </row>
    <row r="10" spans="1:7" x14ac:dyDescent="0.25">
      <c r="A10" t="s">
        <v>84</v>
      </c>
      <c r="B10" t="s">
        <v>79</v>
      </c>
      <c r="C10">
        <v>91</v>
      </c>
      <c r="D10">
        <v>74</v>
      </c>
      <c r="E10">
        <v>84</v>
      </c>
      <c r="F10">
        <v>73</v>
      </c>
      <c r="G10">
        <v>91</v>
      </c>
    </row>
    <row r="11" spans="1:7" x14ac:dyDescent="0.25">
      <c r="A11" t="s">
        <v>85</v>
      </c>
      <c r="B11" t="s">
        <v>79</v>
      </c>
      <c r="C11">
        <v>61</v>
      </c>
      <c r="D11">
        <v>76</v>
      </c>
      <c r="E11">
        <v>69</v>
      </c>
      <c r="F11">
        <v>73</v>
      </c>
      <c r="G11">
        <v>73</v>
      </c>
    </row>
    <row r="12" spans="1:7" x14ac:dyDescent="0.25">
      <c r="A12" t="s">
        <v>86</v>
      </c>
      <c r="B12" t="s">
        <v>77</v>
      </c>
      <c r="C12">
        <v>66</v>
      </c>
      <c r="D12">
        <v>61</v>
      </c>
      <c r="E12">
        <v>69</v>
      </c>
      <c r="F12">
        <v>75</v>
      </c>
      <c r="G12">
        <v>86</v>
      </c>
    </row>
    <row r="13" spans="1:7" x14ac:dyDescent="0.25">
      <c r="A13" t="s">
        <v>87</v>
      </c>
      <c r="B13" t="s">
        <v>77</v>
      </c>
      <c r="C13">
        <v>82</v>
      </c>
      <c r="D13">
        <v>71</v>
      </c>
      <c r="E13">
        <v>69</v>
      </c>
      <c r="F13">
        <v>86</v>
      </c>
      <c r="G13">
        <v>99</v>
      </c>
    </row>
    <row r="14" spans="1:7" x14ac:dyDescent="0.25">
      <c r="A14" t="s">
        <v>88</v>
      </c>
      <c r="B14" t="s">
        <v>77</v>
      </c>
      <c r="C14">
        <v>65</v>
      </c>
      <c r="D14">
        <v>99</v>
      </c>
      <c r="E14">
        <v>58</v>
      </c>
      <c r="F14">
        <v>85</v>
      </c>
      <c r="G14">
        <v>70</v>
      </c>
    </row>
    <row r="15" spans="1:7" x14ac:dyDescent="0.25">
      <c r="A15" t="s">
        <v>89</v>
      </c>
      <c r="B15" t="s">
        <v>77</v>
      </c>
      <c r="C15">
        <v>82</v>
      </c>
      <c r="D15">
        <v>64</v>
      </c>
      <c r="E15">
        <v>95</v>
      </c>
      <c r="F15">
        <v>84</v>
      </c>
      <c r="G15">
        <v>82</v>
      </c>
    </row>
    <row r="16" spans="1:7" x14ac:dyDescent="0.25">
      <c r="A16" t="s">
        <v>90</v>
      </c>
      <c r="B16" t="s">
        <v>79</v>
      </c>
      <c r="C16">
        <v>61</v>
      </c>
      <c r="D16">
        <v>64</v>
      </c>
      <c r="E16">
        <v>56</v>
      </c>
      <c r="F16">
        <v>70</v>
      </c>
      <c r="G16">
        <v>83</v>
      </c>
    </row>
    <row r="17" spans="1:7" x14ac:dyDescent="0.25">
      <c r="A17" t="s">
        <v>91</v>
      </c>
      <c r="B17" t="s">
        <v>79</v>
      </c>
      <c r="C17">
        <v>62</v>
      </c>
      <c r="D17">
        <v>50</v>
      </c>
      <c r="E17">
        <v>62</v>
      </c>
      <c r="F17">
        <v>78</v>
      </c>
      <c r="G17">
        <v>89</v>
      </c>
    </row>
    <row r="18" spans="1:7" x14ac:dyDescent="0.25">
      <c r="A18" t="s">
        <v>92</v>
      </c>
      <c r="B18" t="s">
        <v>79</v>
      </c>
      <c r="C18">
        <v>63</v>
      </c>
      <c r="D18">
        <v>84</v>
      </c>
      <c r="E18">
        <v>89</v>
      </c>
      <c r="F18">
        <v>81</v>
      </c>
      <c r="G18">
        <v>93</v>
      </c>
    </row>
    <row r="19" spans="1:7" x14ac:dyDescent="0.25">
      <c r="A19" t="s">
        <v>93</v>
      </c>
      <c r="B19" t="s">
        <v>77</v>
      </c>
      <c r="C19">
        <v>86</v>
      </c>
      <c r="D19">
        <v>83</v>
      </c>
      <c r="E19">
        <v>54</v>
      </c>
      <c r="F19">
        <v>81</v>
      </c>
      <c r="G19">
        <v>89</v>
      </c>
    </row>
    <row r="20" spans="1:7" x14ac:dyDescent="0.25">
      <c r="A20" t="s">
        <v>94</v>
      </c>
      <c r="B20" t="s">
        <v>77</v>
      </c>
      <c r="C20">
        <v>82</v>
      </c>
      <c r="D20">
        <v>98</v>
      </c>
      <c r="E20">
        <v>81</v>
      </c>
      <c r="F20">
        <v>85</v>
      </c>
      <c r="G20">
        <v>86</v>
      </c>
    </row>
    <row r="21" spans="1:7" x14ac:dyDescent="0.25">
      <c r="A21" t="s">
        <v>95</v>
      </c>
      <c r="B21" t="s">
        <v>79</v>
      </c>
      <c r="C21">
        <v>60</v>
      </c>
      <c r="D21">
        <v>70</v>
      </c>
      <c r="E21">
        <v>81</v>
      </c>
      <c r="F21">
        <v>66</v>
      </c>
      <c r="G21">
        <v>98</v>
      </c>
    </row>
    <row r="22" spans="1:7" x14ac:dyDescent="0.25">
      <c r="A22" t="s">
        <v>96</v>
      </c>
      <c r="B22" t="s">
        <v>79</v>
      </c>
      <c r="C22">
        <v>62</v>
      </c>
      <c r="D22">
        <v>87</v>
      </c>
      <c r="E22">
        <v>69</v>
      </c>
      <c r="F22">
        <v>67</v>
      </c>
      <c r="G22">
        <v>70</v>
      </c>
    </row>
    <row r="23" spans="1:7" x14ac:dyDescent="0.25">
      <c r="A23" t="s">
        <v>97</v>
      </c>
      <c r="B23" t="s">
        <v>77</v>
      </c>
      <c r="C23">
        <v>94</v>
      </c>
      <c r="D23">
        <v>77</v>
      </c>
      <c r="E23">
        <v>84</v>
      </c>
      <c r="F23">
        <v>68</v>
      </c>
      <c r="G23">
        <v>94</v>
      </c>
    </row>
    <row r="24" spans="1:7" x14ac:dyDescent="0.25">
      <c r="A24" t="s">
        <v>98</v>
      </c>
      <c r="B24" t="s">
        <v>79</v>
      </c>
      <c r="C24">
        <v>58</v>
      </c>
      <c r="D24">
        <v>75</v>
      </c>
      <c r="E24">
        <v>68</v>
      </c>
      <c r="F24">
        <v>69</v>
      </c>
      <c r="G24">
        <v>84</v>
      </c>
    </row>
    <row r="25" spans="1:7" x14ac:dyDescent="0.25">
      <c r="A25" t="s">
        <v>99</v>
      </c>
      <c r="B25" t="s">
        <v>77</v>
      </c>
      <c r="C25">
        <v>62</v>
      </c>
      <c r="D25">
        <v>95</v>
      </c>
      <c r="E25">
        <v>71</v>
      </c>
      <c r="F25">
        <v>66</v>
      </c>
      <c r="G25">
        <v>74</v>
      </c>
    </row>
  </sheetData>
  <mergeCells count="1">
    <mergeCell ref="A1:G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DE423-B98D-4B95-8EBF-6697B4ABBDBF}">
  <sheetPr codeName="Hoja3"/>
  <dimension ref="A1:G25"/>
  <sheetViews>
    <sheetView workbookViewId="0">
      <selection activeCell="C6" sqref="C6"/>
    </sheetView>
  </sheetViews>
  <sheetFormatPr baseColWidth="10" defaultColWidth="11.42578125" defaultRowHeight="15" x14ac:dyDescent="0.25"/>
  <cols>
    <col min="1" max="1" width="17.85546875" customWidth="1"/>
    <col min="7" max="7" width="13.28515625" customWidth="1"/>
  </cols>
  <sheetData>
    <row r="1" spans="1:7" ht="21.75" thickBot="1" x14ac:dyDescent="0.4">
      <c r="A1" s="13" t="s">
        <v>68</v>
      </c>
    </row>
    <row r="3" spans="1:7" x14ac:dyDescent="0.25">
      <c r="A3" s="14" t="s">
        <v>69</v>
      </c>
      <c r="B3" s="14" t="s">
        <v>70</v>
      </c>
      <c r="C3" s="14" t="s">
        <v>71</v>
      </c>
      <c r="D3" s="14" t="s">
        <v>72</v>
      </c>
      <c r="E3" s="14" t="s">
        <v>73</v>
      </c>
      <c r="F3" s="14" t="s">
        <v>74</v>
      </c>
      <c r="G3" s="14" t="s">
        <v>75</v>
      </c>
    </row>
    <row r="4" spans="1:7" x14ac:dyDescent="0.25">
      <c r="A4" t="s">
        <v>76</v>
      </c>
      <c r="B4" t="s">
        <v>77</v>
      </c>
      <c r="C4">
        <v>79</v>
      </c>
      <c r="D4">
        <v>46</v>
      </c>
      <c r="E4">
        <v>59</v>
      </c>
      <c r="F4">
        <v>72</v>
      </c>
      <c r="G4" s="33">
        <f>AVERAGE(C4:F4)</f>
        <v>64</v>
      </c>
    </row>
    <row r="5" spans="1:7" x14ac:dyDescent="0.25">
      <c r="A5" t="s">
        <v>78</v>
      </c>
      <c r="B5" t="s">
        <v>79</v>
      </c>
      <c r="C5">
        <v>76</v>
      </c>
      <c r="D5">
        <v>86</v>
      </c>
      <c r="E5">
        <v>62</v>
      </c>
      <c r="F5">
        <v>69</v>
      </c>
      <c r="G5" s="33">
        <f t="shared" ref="G5:G25" si="0">AVERAGE(C5:F5)</f>
        <v>73.25</v>
      </c>
    </row>
    <row r="6" spans="1:7" x14ac:dyDescent="0.25">
      <c r="A6" t="s">
        <v>80</v>
      </c>
      <c r="B6" t="s">
        <v>79</v>
      </c>
      <c r="C6">
        <v>41</v>
      </c>
      <c r="D6">
        <v>72</v>
      </c>
      <c r="E6">
        <v>41</v>
      </c>
      <c r="F6">
        <v>84</v>
      </c>
      <c r="G6" s="33">
        <f t="shared" si="0"/>
        <v>59.5</v>
      </c>
    </row>
    <row r="7" spans="1:7" x14ac:dyDescent="0.25">
      <c r="A7" t="s">
        <v>81</v>
      </c>
      <c r="B7" t="s">
        <v>79</v>
      </c>
      <c r="C7">
        <v>57</v>
      </c>
      <c r="D7">
        <v>85</v>
      </c>
      <c r="E7">
        <v>62</v>
      </c>
      <c r="F7">
        <v>63</v>
      </c>
      <c r="G7" s="33">
        <f t="shared" si="0"/>
        <v>66.75</v>
      </c>
    </row>
    <row r="8" spans="1:7" x14ac:dyDescent="0.25">
      <c r="A8" t="s">
        <v>82</v>
      </c>
      <c r="B8" t="s">
        <v>79</v>
      </c>
      <c r="C8">
        <v>59</v>
      </c>
      <c r="D8">
        <v>62</v>
      </c>
      <c r="E8">
        <v>67</v>
      </c>
      <c r="F8">
        <v>81</v>
      </c>
      <c r="G8" s="33">
        <f t="shared" si="0"/>
        <v>67.25</v>
      </c>
    </row>
    <row r="9" spans="1:7" x14ac:dyDescent="0.25">
      <c r="A9" t="s">
        <v>83</v>
      </c>
      <c r="B9" t="s">
        <v>77</v>
      </c>
      <c r="C9">
        <v>69</v>
      </c>
      <c r="D9">
        <v>57</v>
      </c>
      <c r="E9">
        <v>69</v>
      </c>
      <c r="F9">
        <v>88</v>
      </c>
      <c r="G9" s="33">
        <f t="shared" si="0"/>
        <v>70.75</v>
      </c>
    </row>
    <row r="10" spans="1:7" x14ac:dyDescent="0.25">
      <c r="A10" t="s">
        <v>84</v>
      </c>
      <c r="B10" t="s">
        <v>79</v>
      </c>
      <c r="C10">
        <v>91</v>
      </c>
      <c r="D10">
        <v>74</v>
      </c>
      <c r="E10">
        <v>84</v>
      </c>
      <c r="F10">
        <v>73</v>
      </c>
      <c r="G10" s="33">
        <f t="shared" si="0"/>
        <v>80.5</v>
      </c>
    </row>
    <row r="11" spans="1:7" x14ac:dyDescent="0.25">
      <c r="A11" t="s">
        <v>85</v>
      </c>
      <c r="B11" t="s">
        <v>79</v>
      </c>
      <c r="C11">
        <v>61</v>
      </c>
      <c r="D11">
        <v>76</v>
      </c>
      <c r="E11">
        <v>69</v>
      </c>
      <c r="F11">
        <v>73</v>
      </c>
      <c r="G11" s="33">
        <f t="shared" si="0"/>
        <v>69.75</v>
      </c>
    </row>
    <row r="12" spans="1:7" x14ac:dyDescent="0.25">
      <c r="A12" t="s">
        <v>86</v>
      </c>
      <c r="B12" t="s">
        <v>77</v>
      </c>
      <c r="C12">
        <v>66</v>
      </c>
      <c r="D12">
        <v>61</v>
      </c>
      <c r="E12">
        <v>69</v>
      </c>
      <c r="F12">
        <v>75</v>
      </c>
      <c r="G12" s="33">
        <f t="shared" si="0"/>
        <v>67.75</v>
      </c>
    </row>
    <row r="13" spans="1:7" x14ac:dyDescent="0.25">
      <c r="A13" t="s">
        <v>87</v>
      </c>
      <c r="B13" t="s">
        <v>77</v>
      </c>
      <c r="C13">
        <v>82</v>
      </c>
      <c r="D13">
        <v>71</v>
      </c>
      <c r="E13">
        <v>69</v>
      </c>
      <c r="F13">
        <v>86</v>
      </c>
      <c r="G13" s="33">
        <f t="shared" si="0"/>
        <v>77</v>
      </c>
    </row>
    <row r="14" spans="1:7" x14ac:dyDescent="0.25">
      <c r="A14" t="s">
        <v>88</v>
      </c>
      <c r="B14" t="s">
        <v>77</v>
      </c>
      <c r="C14">
        <v>65</v>
      </c>
      <c r="D14">
        <v>99</v>
      </c>
      <c r="E14">
        <v>58</v>
      </c>
      <c r="F14">
        <v>85</v>
      </c>
      <c r="G14" s="33">
        <f t="shared" si="0"/>
        <v>76.75</v>
      </c>
    </row>
    <row r="15" spans="1:7" x14ac:dyDescent="0.25">
      <c r="A15" t="s">
        <v>89</v>
      </c>
      <c r="B15" t="s">
        <v>77</v>
      </c>
      <c r="C15">
        <v>82</v>
      </c>
      <c r="D15">
        <v>64</v>
      </c>
      <c r="E15">
        <v>95</v>
      </c>
      <c r="F15">
        <v>84</v>
      </c>
      <c r="G15" s="33">
        <f t="shared" si="0"/>
        <v>81.25</v>
      </c>
    </row>
    <row r="16" spans="1:7" x14ac:dyDescent="0.25">
      <c r="A16" t="s">
        <v>90</v>
      </c>
      <c r="B16" t="s">
        <v>79</v>
      </c>
      <c r="C16">
        <v>59</v>
      </c>
      <c r="D16">
        <v>61</v>
      </c>
      <c r="E16">
        <v>54</v>
      </c>
      <c r="F16">
        <v>65</v>
      </c>
      <c r="G16" s="33">
        <f t="shared" si="0"/>
        <v>59.75</v>
      </c>
    </row>
    <row r="17" spans="1:7" x14ac:dyDescent="0.25">
      <c r="A17" t="s">
        <v>91</v>
      </c>
      <c r="B17" t="s">
        <v>79</v>
      </c>
      <c r="C17">
        <v>62</v>
      </c>
      <c r="D17">
        <v>50</v>
      </c>
      <c r="E17">
        <v>62</v>
      </c>
      <c r="F17">
        <v>78</v>
      </c>
      <c r="G17" s="33">
        <f t="shared" si="0"/>
        <v>63</v>
      </c>
    </row>
    <row r="18" spans="1:7" x14ac:dyDescent="0.25">
      <c r="A18" t="s">
        <v>92</v>
      </c>
      <c r="B18" t="s">
        <v>79</v>
      </c>
      <c r="C18">
        <v>63</v>
      </c>
      <c r="D18">
        <v>84</v>
      </c>
      <c r="E18">
        <v>89</v>
      </c>
      <c r="F18">
        <v>81</v>
      </c>
      <c r="G18" s="33">
        <f t="shared" si="0"/>
        <v>79.25</v>
      </c>
    </row>
    <row r="19" spans="1:7" x14ac:dyDescent="0.25">
      <c r="A19" t="s">
        <v>93</v>
      </c>
      <c r="B19" t="s">
        <v>77</v>
      </c>
      <c r="C19">
        <v>86</v>
      </c>
      <c r="D19">
        <v>83</v>
      </c>
      <c r="E19">
        <v>54</v>
      </c>
      <c r="F19">
        <v>81</v>
      </c>
      <c r="G19" s="33">
        <f t="shared" si="0"/>
        <v>76</v>
      </c>
    </row>
    <row r="20" spans="1:7" x14ac:dyDescent="0.25">
      <c r="A20" t="s">
        <v>94</v>
      </c>
      <c r="B20" t="s">
        <v>77</v>
      </c>
      <c r="C20">
        <v>82</v>
      </c>
      <c r="D20">
        <v>98</v>
      </c>
      <c r="E20">
        <v>81</v>
      </c>
      <c r="F20">
        <v>85</v>
      </c>
      <c r="G20" s="33">
        <f t="shared" si="0"/>
        <v>86.5</v>
      </c>
    </row>
    <row r="21" spans="1:7" x14ac:dyDescent="0.25">
      <c r="A21" t="s">
        <v>95</v>
      </c>
      <c r="B21" t="s">
        <v>79</v>
      </c>
      <c r="C21">
        <v>60</v>
      </c>
      <c r="D21">
        <v>70</v>
      </c>
      <c r="E21">
        <v>81</v>
      </c>
      <c r="F21">
        <v>66</v>
      </c>
      <c r="G21" s="33">
        <f t="shared" si="0"/>
        <v>69.25</v>
      </c>
    </row>
    <row r="22" spans="1:7" x14ac:dyDescent="0.25">
      <c r="A22" t="s">
        <v>96</v>
      </c>
      <c r="B22" t="s">
        <v>79</v>
      </c>
      <c r="C22">
        <v>62</v>
      </c>
      <c r="D22">
        <v>87</v>
      </c>
      <c r="E22">
        <v>69</v>
      </c>
      <c r="F22">
        <v>67</v>
      </c>
      <c r="G22" s="33">
        <f t="shared" si="0"/>
        <v>71.25</v>
      </c>
    </row>
    <row r="23" spans="1:7" x14ac:dyDescent="0.25">
      <c r="A23" t="s">
        <v>97</v>
      </c>
      <c r="B23" t="s">
        <v>77</v>
      </c>
      <c r="C23">
        <v>94</v>
      </c>
      <c r="D23">
        <v>77</v>
      </c>
      <c r="E23">
        <v>84</v>
      </c>
      <c r="F23">
        <v>68</v>
      </c>
      <c r="G23" s="33">
        <f t="shared" si="0"/>
        <v>80.75</v>
      </c>
    </row>
    <row r="24" spans="1:7" x14ac:dyDescent="0.25">
      <c r="A24" t="s">
        <v>98</v>
      </c>
      <c r="B24" t="s">
        <v>79</v>
      </c>
      <c r="C24">
        <v>58</v>
      </c>
      <c r="D24">
        <v>75</v>
      </c>
      <c r="E24">
        <v>68</v>
      </c>
      <c r="F24">
        <v>69</v>
      </c>
      <c r="G24" s="33">
        <f t="shared" si="0"/>
        <v>67.5</v>
      </c>
    </row>
    <row r="25" spans="1:7" x14ac:dyDescent="0.25">
      <c r="A25" t="s">
        <v>99</v>
      </c>
      <c r="B25" t="s">
        <v>77</v>
      </c>
      <c r="C25">
        <v>62</v>
      </c>
      <c r="D25">
        <v>95</v>
      </c>
      <c r="E25">
        <v>71</v>
      </c>
      <c r="F25">
        <v>66</v>
      </c>
      <c r="G25" s="33">
        <f t="shared" si="0"/>
        <v>73.5</v>
      </c>
    </row>
  </sheetData>
  <printOptions headings="1" gridLines="1"/>
  <pageMargins left="0.70866141732283472" right="0.70866141732283472" top="0.74803149606299213" bottom="0.74803149606299213" header="0.31496062992125984" footer="0.31496062992125984"/>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9AE2-19F3-45A1-AD11-515119CC9C12}">
  <sheetPr codeName="Hoja11"/>
  <dimension ref="A3:F10"/>
  <sheetViews>
    <sheetView zoomScale="90" zoomScaleNormal="90" workbookViewId="0">
      <selection activeCell="F14" sqref="F14"/>
    </sheetView>
  </sheetViews>
  <sheetFormatPr baseColWidth="10" defaultRowHeight="15" outlineLevelCol="1" x14ac:dyDescent="0.25"/>
  <cols>
    <col min="2" max="2" width="16.42578125" bestFit="1" customWidth="1"/>
    <col min="3" max="3" width="15.85546875" bestFit="1" customWidth="1" outlineLevel="1"/>
    <col min="4" max="4" width="15.42578125" bestFit="1" customWidth="1" outlineLevel="1"/>
    <col min="5" max="5" width="22.85546875" bestFit="1" customWidth="1" outlineLevel="1"/>
    <col min="6" max="6" width="22.140625" bestFit="1" customWidth="1"/>
  </cols>
  <sheetData>
    <row r="3" spans="1:6" ht="17.25" x14ac:dyDescent="0.3">
      <c r="A3" s="11" t="s">
        <v>41</v>
      </c>
      <c r="B3" s="11" t="s">
        <v>42</v>
      </c>
      <c r="C3" s="11" t="s">
        <v>43</v>
      </c>
      <c r="D3" s="11" t="s">
        <v>44</v>
      </c>
      <c r="E3" s="11" t="s">
        <v>45</v>
      </c>
      <c r="F3" s="11" t="s">
        <v>46</v>
      </c>
    </row>
    <row r="4" spans="1:6" x14ac:dyDescent="0.25">
      <c r="A4" s="1" t="s">
        <v>47</v>
      </c>
      <c r="B4" s="1" t="s">
        <v>54</v>
      </c>
      <c r="C4" s="1" t="s">
        <v>61</v>
      </c>
      <c r="D4" s="12">
        <v>225</v>
      </c>
      <c r="E4" s="1">
        <v>50</v>
      </c>
      <c r="F4" s="1">
        <v>95</v>
      </c>
    </row>
    <row r="5" spans="1:6" x14ac:dyDescent="0.25">
      <c r="A5" s="1" t="s">
        <v>48</v>
      </c>
      <c r="B5" s="1" t="s">
        <v>55</v>
      </c>
      <c r="C5" s="1" t="s">
        <v>62</v>
      </c>
      <c r="D5" s="12"/>
      <c r="E5" s="1">
        <v>80</v>
      </c>
      <c r="F5" s="1">
        <v>108</v>
      </c>
    </row>
    <row r="6" spans="1:6" x14ac:dyDescent="0.25">
      <c r="A6" s="1" t="s">
        <v>49</v>
      </c>
      <c r="B6" s="1" t="s">
        <v>56</v>
      </c>
      <c r="C6" s="1" t="s">
        <v>63</v>
      </c>
      <c r="D6" s="12">
        <v>145</v>
      </c>
      <c r="E6" s="1">
        <v>100</v>
      </c>
      <c r="F6" s="1">
        <v>120</v>
      </c>
    </row>
    <row r="7" spans="1:6" x14ac:dyDescent="0.25">
      <c r="A7" s="1" t="s">
        <v>50</v>
      </c>
      <c r="B7" s="1" t="s">
        <v>57</v>
      </c>
      <c r="C7" s="1" t="s">
        <v>64</v>
      </c>
      <c r="D7" s="12">
        <v>150</v>
      </c>
      <c r="E7" s="1">
        <v>125</v>
      </c>
      <c r="F7" s="1">
        <v>120</v>
      </c>
    </row>
    <row r="8" spans="1:6" x14ac:dyDescent="0.25">
      <c r="A8" s="1" t="s">
        <v>51</v>
      </c>
      <c r="B8" s="1" t="s">
        <v>59</v>
      </c>
      <c r="C8" s="1" t="s">
        <v>65</v>
      </c>
      <c r="D8" s="12"/>
      <c r="E8" s="1">
        <v>65</v>
      </c>
      <c r="F8" s="1">
        <v>80</v>
      </c>
    </row>
    <row r="9" spans="1:6" x14ac:dyDescent="0.25">
      <c r="A9" s="1" t="s">
        <v>52</v>
      </c>
      <c r="B9" s="1" t="s">
        <v>58</v>
      </c>
      <c r="C9" s="1" t="s">
        <v>66</v>
      </c>
      <c r="D9" s="12">
        <v>120</v>
      </c>
      <c r="E9" s="1">
        <v>150</v>
      </c>
      <c r="F9" s="1">
        <v>120</v>
      </c>
    </row>
    <row r="10" spans="1:6" x14ac:dyDescent="0.25">
      <c r="A10" s="1" t="s">
        <v>53</v>
      </c>
      <c r="B10" s="1" t="s">
        <v>60</v>
      </c>
      <c r="C10" s="1" t="s">
        <v>67</v>
      </c>
      <c r="D10" s="12"/>
      <c r="E10" s="1">
        <v>200</v>
      </c>
      <c r="F10" s="1">
        <v>120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Regiones</vt:lpstr>
      <vt:lpstr>Bicicletas</vt:lpstr>
      <vt:lpstr>Zonas</vt:lpstr>
      <vt:lpstr>Resultados</vt:lpstr>
      <vt:lpstr>Tratamientos</vt:lpstr>
      <vt:lpstr>Exportación</vt:lpstr>
      <vt:lpstr>Analisis</vt:lpstr>
      <vt:lpstr>Notas</vt:lpstr>
      <vt:lpstr>Notas 2</vt:lpstr>
      <vt:lpstr>Result</vt:lpstr>
      <vt:lpstr>Desagrupar</vt:lpstr>
      <vt:lpstr>Result!Títulos_a_imprimir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Elite Copilot</dc:creator>
  <cp:lastModifiedBy>Elite Copilot</cp:lastModifiedBy>
  <dcterms:created xsi:type="dcterms:W3CDTF">2024-06-21T15:19:51Z</dcterms:created>
  <dcterms:modified xsi:type="dcterms:W3CDTF">2026-01-21T11:36:01Z</dcterms:modified>
</cp:coreProperties>
</file>