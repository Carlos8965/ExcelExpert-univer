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ppe\Documents\"/>
    </mc:Choice>
  </mc:AlternateContent>
  <xr:revisionPtr revIDLastSave="0" documentId="13_ncr:1_{6118200C-DDD0-4994-9605-6EE1A015146A}" xr6:coauthVersionLast="47" xr6:coauthVersionMax="47" xr10:uidLastSave="{00000000-0000-0000-0000-000000000000}"/>
  <bookViews>
    <workbookView xWindow="-108" yWindow="-108" windowWidth="23256" windowHeight="12456" tabRatio="691" xr2:uid="{6CF6690A-9802-454D-8998-578FE10F1203}"/>
  </bookViews>
  <sheets>
    <sheet name="Busca Catálogo" sheetId="2" r:id="rId1"/>
    <sheet name="Calificaciones" sheetId="3" r:id="rId2"/>
    <sheet name="Vendedores" sheetId="5" r:id="rId3"/>
    <sheet name="Ventas" sheetId="6" r:id="rId4"/>
    <sheet name="Escenario" sheetId="8" r:id="rId5"/>
    <sheet name="Consolidar" sheetId="12" r:id="rId6"/>
    <sheet name="Semana1" sheetId="9" r:id="rId7"/>
    <sheet name="Semana2" sheetId="10" r:id="rId8"/>
    <sheet name="Semana3" sheetId="11" r:id="rId9"/>
  </sheet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8" l="1"/>
  <c r="C7" i="3"/>
  <c r="C8" i="3"/>
  <c r="C9" i="3"/>
  <c r="C10" i="3"/>
  <c r="C11" i="3"/>
</calcChain>
</file>

<file path=xl/sharedStrings.xml><?xml version="1.0" encoding="utf-8"?>
<sst xmlns="http://schemas.openxmlformats.org/spreadsheetml/2006/main" count="153" uniqueCount="66">
  <si>
    <t>Matemáticas</t>
  </si>
  <si>
    <t>Español</t>
  </si>
  <si>
    <t>Química</t>
  </si>
  <si>
    <t>Física</t>
  </si>
  <si>
    <t>Cálculo</t>
  </si>
  <si>
    <t>Programación</t>
  </si>
  <si>
    <t>Miguel Fuentes</t>
  </si>
  <si>
    <t>Daniel Díaz</t>
  </si>
  <si>
    <t>Selia Lora</t>
  </si>
  <si>
    <t>Sara Quintero</t>
  </si>
  <si>
    <t>Samanta Jiménez</t>
  </si>
  <si>
    <t>Laura Romo</t>
  </si>
  <si>
    <t>Curso</t>
  </si>
  <si>
    <t>Instructor</t>
  </si>
  <si>
    <t>AA</t>
  </si>
  <si>
    <t>A</t>
  </si>
  <si>
    <t>B</t>
  </si>
  <si>
    <t>C</t>
  </si>
  <si>
    <t>D</t>
  </si>
  <si>
    <t>Calificación</t>
  </si>
  <si>
    <t>Nota</t>
  </si>
  <si>
    <t>Nombre</t>
  </si>
  <si>
    <t>Fecha de nacimiento</t>
  </si>
  <si>
    <t>Padilla</t>
  </si>
  <si>
    <t>Tórrez</t>
  </si>
  <si>
    <t>Terán</t>
  </si>
  <si>
    <t>Rodarte</t>
  </si>
  <si>
    <t>Hermosilla</t>
  </si>
  <si>
    <t>Casanova</t>
  </si>
  <si>
    <t>ID</t>
  </si>
  <si>
    <t>Apellido</t>
  </si>
  <si>
    <t>Puesto</t>
  </si>
  <si>
    <t>Rep. de ventas</t>
  </si>
  <si>
    <t>Vicepresidente de ventas</t>
  </si>
  <si>
    <t>Jefe de ventas</t>
  </si>
  <si>
    <t>Naiara</t>
  </si>
  <si>
    <t>Miguel</t>
  </si>
  <si>
    <t>Eulalia</t>
  </si>
  <si>
    <t>Serafin</t>
  </si>
  <si>
    <t>Alberto</t>
  </si>
  <si>
    <t>Juan</t>
  </si>
  <si>
    <t>Fecha de Nacimiento</t>
  </si>
  <si>
    <t>Campus Universitario</t>
  </si>
  <si>
    <t>Centro</t>
  </si>
  <si>
    <t>Campus de la escuela secundaria</t>
  </si>
  <si>
    <t>Parque Industrial</t>
  </si>
  <si>
    <t>Zoológico</t>
  </si>
  <si>
    <t>Ubicación</t>
  </si>
  <si>
    <t>Enero</t>
  </si>
  <si>
    <t>Etiquetas de fila</t>
  </si>
  <si>
    <t>Total general</t>
  </si>
  <si>
    <t>Ventas de Enero</t>
  </si>
  <si>
    <t>Total</t>
  </si>
  <si>
    <t>Producto</t>
  </si>
  <si>
    <t>Huevos</t>
  </si>
  <si>
    <t>Pan</t>
  </si>
  <si>
    <t>Leche</t>
  </si>
  <si>
    <t>Manzanas</t>
  </si>
  <si>
    <t>Tomates</t>
  </si>
  <si>
    <t>Lunes</t>
  </si>
  <si>
    <t>Marte</t>
  </si>
  <si>
    <t>Miércoles</t>
  </si>
  <si>
    <t>Jueves</t>
  </si>
  <si>
    <t>Viernes</t>
  </si>
  <si>
    <t>Ganancias</t>
  </si>
  <si>
    <t>Tabla de Calificaciones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</si>
</sst>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4506668294322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4506668294322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3" xfId="0" applyBorder="1"/>
    <xf numFmtId="0" fontId="0" fillId="0" borderId="4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5" xfId="0" applyBorder="1"/>
    <xf numFmtId="0" fontId="0" fillId="3" borderId="5" xfId="0" applyFill="1" applyBorder="1"/>
    <xf numFmtId="0" fontId="1" fillId="2" borderId="6" xfId="0" applyFont="1" applyFill="1" applyBorder="1"/>
    <xf numFmtId="0" fontId="0" fillId="3" borderId="6" xfId="0" applyFill="1" applyBorder="1"/>
    <xf numFmtId="0" fontId="0" fillId="0" borderId="6" xfId="0" applyBorder="1"/>
    <xf numFmtId="0" fontId="1" fillId="2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5" xfId="0" applyFill="1" applyBorder="1" applyAlignment="1">
      <alignment horizontal="center"/>
    </xf>
    <xf numFmtId="14" fontId="0" fillId="3" borderId="4" xfId="0" applyNumberFormat="1" applyFill="1" applyBorder="1"/>
    <xf numFmtId="14" fontId="0" fillId="0" borderId="4" xfId="0" applyNumberFormat="1" applyBorder="1"/>
    <xf numFmtId="14" fontId="0" fillId="0" borderId="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44" fontId="0" fillId="3" borderId="4" xfId="0" applyNumberFormat="1" applyFill="1" applyBorder="1"/>
    <xf numFmtId="44" fontId="0" fillId="0" borderId="4" xfId="0" applyNumberFormat="1" applyBorder="1"/>
    <xf numFmtId="44" fontId="0" fillId="0" borderId="0" xfId="0" applyNumberFormat="1"/>
    <xf numFmtId="0" fontId="0" fillId="3" borderId="7" xfId="0" applyFill="1" applyBorder="1"/>
    <xf numFmtId="44" fontId="0" fillId="3" borderId="8" xfId="0" applyNumberFormat="1" applyFill="1" applyBorder="1"/>
    <xf numFmtId="0" fontId="1" fillId="2" borderId="6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karinanishioka.blogspot.com/2012/10/vendedores.htm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390938</xdr:colOff>
      <xdr:row>3</xdr:row>
      <xdr:rowOff>112645</xdr:rowOff>
    </xdr:from>
    <xdr:to>
      <xdr:col>13</xdr:col>
      <xdr:colOff>355876</xdr:colOff>
      <xdr:row>9</xdr:row>
      <xdr:rowOff>33131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E36CFF5C-4749-4FC3-BB6C-FDC3C3FAAD04}"/>
            </a:ext>
          </a:extLst>
        </xdr:cNvPr>
        <xdr:cNvSpPr/>
      </xdr:nvSpPr>
      <xdr:spPr>
        <a:xfrm>
          <a:off x="4856921" y="669236"/>
          <a:ext cx="5530851" cy="1033669"/>
        </a:xfrm>
        <a:prstGeom prst="rect">
          <a:avLst/>
        </a:prstGeom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SV" sz="1800"/>
            <a:t>1. En la hoja de trabajo</a:t>
          </a:r>
          <a:r>
            <a:rPr lang="es-SV" sz="1800" baseline="0"/>
            <a:t> Buscar Catálogo, inserte una función en la celda C11 que muestre el nombre del instructor del curso de la celda C10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139147</xdr:colOff>
      <xdr:row>1</xdr:row>
      <xdr:rowOff>39756</xdr:rowOff>
    </xdr:from>
    <xdr:to>
      <xdr:col>14</xdr:col>
      <xdr:colOff>104085</xdr:colOff>
      <xdr:row>10</xdr:row>
      <xdr:rowOff>139148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3065E492-D794-47FD-BD80-0CBA20E6C878}"/>
            </a:ext>
          </a:extLst>
        </xdr:cNvPr>
        <xdr:cNvSpPr/>
      </xdr:nvSpPr>
      <xdr:spPr>
        <a:xfrm>
          <a:off x="5970104" y="225286"/>
          <a:ext cx="6193459" cy="1769166"/>
        </a:xfrm>
        <a:prstGeom prst="rect">
          <a:avLst/>
        </a:prstGeom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SV" sz="1800"/>
            <a:t>2. En la hoja de trabajo</a:t>
          </a:r>
          <a:r>
            <a:rPr lang="es-SV" sz="1800" baseline="0"/>
            <a:t> Calificaciones, inserte una función en la celda D7 que muestre la Nota correspondiente para cada alumno según la Tabla de Calificaciones. (Las calificaciones se generan aleatoreamente), copie la fórmula a las demás filas.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192156</xdr:colOff>
      <xdr:row>4</xdr:row>
      <xdr:rowOff>172279</xdr:rowOff>
    </xdr:from>
    <xdr:to>
      <xdr:col>13</xdr:col>
      <xdr:colOff>24572</xdr:colOff>
      <xdr:row>11</xdr:row>
      <xdr:rowOff>106018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D9DF1FA-AEBA-4B2A-901C-34F41ECD6127}"/>
            </a:ext>
          </a:extLst>
        </xdr:cNvPr>
        <xdr:cNvSpPr/>
      </xdr:nvSpPr>
      <xdr:spPr>
        <a:xfrm>
          <a:off x="5413513" y="914401"/>
          <a:ext cx="6193459" cy="1232452"/>
        </a:xfrm>
        <a:prstGeom prst="rect">
          <a:avLst/>
        </a:prstGeom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SV" sz="1800"/>
            <a:t>3. En la hoja de trabajo</a:t>
          </a:r>
          <a:r>
            <a:rPr lang="es-SV" sz="1800" baseline="0"/>
            <a:t> Vendedores, inserte una función en las celdas C12 a C15, para determinar el ID, Apellido, Puesto y Fecha de Nacimiento </a:t>
          </a:r>
          <a:r>
            <a:rPr lang="es-SV" sz="1800" baseline="0">
              <a:solidFill>
                <a:schemeClr val="dk1"/>
              </a:solidFill>
              <a:latin typeface="+mn-lt"/>
              <a:ea typeface="+mn-ea"/>
              <a:cs typeface="+mn-cs"/>
            </a:rPr>
            <a:t>respectivamente</a:t>
          </a:r>
          <a:r>
            <a:rPr lang="es-SV" sz="1800" baseline="0"/>
            <a:t> del Nombre  de la celda C11.</a:t>
          </a:r>
        </a:p>
      </xdr:txBody>
    </xdr:sp>
    <xdr:clientData/>
  </xdr:twoCellAnchor>
  <xdr:twoCellAnchor editAs="oneCell">
    <xdr:from>
      <xdr:col>5</xdr:col>
      <xdr:colOff>112644</xdr:colOff>
      <xdr:row>13</xdr:row>
      <xdr:rowOff>88245</xdr:rowOff>
    </xdr:from>
    <xdr:to>
      <xdr:col>6</xdr:col>
      <xdr:colOff>510209</xdr:colOff>
      <xdr:row>19</xdr:row>
      <xdr:rowOff>108085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469055F-54FF-E084-6A64-6A29A382B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334001" y="2500141"/>
          <a:ext cx="1192695" cy="11330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4</xdr:row>
      <xdr:rowOff>53340</xdr:rowOff>
    </xdr:from>
    <xdr:to>
      <xdr:col>13</xdr:col>
      <xdr:colOff>265099</xdr:colOff>
      <xdr:row>14</xdr:row>
      <xdr:rowOff>76200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424FE89-2201-40C7-9318-632A43BF723A}"/>
            </a:ext>
          </a:extLst>
        </xdr:cNvPr>
        <xdr:cNvSpPr/>
      </xdr:nvSpPr>
      <xdr:spPr>
        <a:xfrm>
          <a:off x="6758940" y="784860"/>
          <a:ext cx="6254419" cy="1851660"/>
        </a:xfrm>
        <a:prstGeom prst="rect">
          <a:avLst/>
        </a:prstGeom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SV" sz="1800"/>
            <a:t>4. En la hoja de trabajo</a:t>
          </a:r>
          <a:r>
            <a:rPr lang="es-SV" sz="1800" baseline="0"/>
            <a:t> Ventas, agregue un Campo calculadoa la Tabla dinámica llamado "IVA 16%" que calcule el IVA del 16% a las ventas de Enero.</a:t>
          </a:r>
        </a:p>
        <a:p>
          <a:pPr algn="l"/>
          <a:endParaRPr lang="es-SV" sz="1800" baseline="0"/>
        </a:p>
        <a:p>
          <a:pPr algn="l"/>
          <a:r>
            <a:rPr lang="es-SV" sz="1800" baseline="0"/>
            <a:t>5. Filtre los datos de la tabla de Ubicaciones para mostrar un listado de la ubicación de la celda E14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128954</xdr:colOff>
      <xdr:row>0</xdr:row>
      <xdr:rowOff>70337</xdr:rowOff>
    </xdr:from>
    <xdr:to>
      <xdr:col>9</xdr:col>
      <xdr:colOff>697524</xdr:colOff>
      <xdr:row>17</xdr:row>
      <xdr:rowOff>46893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C996FA6-B1F7-40DD-B487-C28DF6668FA2}"/>
            </a:ext>
          </a:extLst>
        </xdr:cNvPr>
        <xdr:cNvSpPr/>
      </xdr:nvSpPr>
      <xdr:spPr>
        <a:xfrm>
          <a:off x="2338754" y="70337"/>
          <a:ext cx="6107724" cy="3247294"/>
        </a:xfrm>
        <a:prstGeom prst="rect">
          <a:avLst/>
        </a:prstGeom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SV" sz="1600"/>
            <a:t>6. En la hoja de trabajo</a:t>
          </a:r>
          <a:r>
            <a:rPr lang="es-SV" sz="1600" baseline="0"/>
            <a:t> Escenario, cree tres escenarios, llamados Actual, Pesimista y Optimista respectivamente</a:t>
          </a:r>
          <a:br>
            <a:rPr lang="es-SV" sz="1600" baseline="0"/>
          </a:br>
          <a:r>
            <a:rPr lang="es-SV" sz="1600" baseline="0"/>
            <a:t>Actual ► Datos Actuales</a:t>
          </a:r>
        </a:p>
        <a:p>
          <a:pPr algn="l"/>
          <a:r>
            <a:rPr lang="es-SV" sz="1600" baseline="0"/>
            <a:t>Pesimista ► Reducción de un 10%</a:t>
          </a:r>
          <a:br>
            <a:rPr lang="es-SV" sz="1600" baseline="0"/>
          </a:br>
          <a:r>
            <a:rPr lang="es-SV" sz="1600" baseline="0"/>
            <a:t>Optimista ► Aumento de un 10%</a:t>
          </a:r>
        </a:p>
        <a:p>
          <a:pPr algn="l"/>
          <a:r>
            <a:rPr lang="es-SV" sz="1600" baseline="0"/>
            <a:t>Muestre el Escenario Optimista</a:t>
          </a:r>
        </a:p>
        <a:p>
          <a:pPr algn="l"/>
          <a:r>
            <a:rPr lang="es-SV" sz="1600" baseline="0"/>
            <a:t>Agregue una ventana de inspección a la celda B8</a:t>
          </a:r>
        </a:p>
        <a:p>
          <a:pPr algn="l"/>
          <a:endParaRPr lang="es-SV" sz="1600" baseline="0"/>
        </a:p>
        <a:p>
          <a:pPr algn="l"/>
          <a:r>
            <a:rPr lang="es-SV" sz="1600" baseline="0"/>
            <a:t>7. Compruebe la Accesibilidad de este libro y corrija el elemento sugerido</a:t>
          </a:r>
        </a:p>
        <a:p>
          <a:pPr algn="l"/>
          <a:endParaRPr lang="es-SV" sz="1600" baseline="0"/>
        </a:p>
        <a:p>
          <a:pPr algn="l"/>
          <a:r>
            <a:rPr lang="es-SV" sz="1600" baseline="0"/>
            <a:t>8. Inspeccione el documento y elimine las Propiedades del documento e información personal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297180</xdr:colOff>
      <xdr:row>5</xdr:row>
      <xdr:rowOff>167641</xdr:rowOff>
    </xdr:from>
    <xdr:to>
      <xdr:col>17</xdr:col>
      <xdr:colOff>65064</xdr:colOff>
      <xdr:row>16</xdr:row>
      <xdr:rowOff>7621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21127847-EC6E-499F-8540-4A93221A4794}"/>
            </a:ext>
          </a:extLst>
        </xdr:cNvPr>
        <xdr:cNvSpPr/>
      </xdr:nvSpPr>
      <xdr:spPr>
        <a:xfrm>
          <a:off x="7429500" y="1082041"/>
          <a:ext cx="6107724" cy="1851660"/>
        </a:xfrm>
        <a:prstGeom prst="rect">
          <a:avLst/>
        </a:prstGeom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SV" sz="1800"/>
            <a:t>9. Consolide las ganancias de las hojas</a:t>
          </a:r>
          <a:r>
            <a:rPr lang="es-SV" sz="1800" baseline="0"/>
            <a:t> de trabajo Semana1, Semana2 y Semana3 en la hoja Consolidar en la celda A1. Use los rótulos para Fila superior y Columna izquierda. </a:t>
          </a:r>
          <a:r>
            <a:rPr lang="es-MX" sz="1800">
              <a:solidFill>
                <a:schemeClr val="dk1"/>
              </a:solidFill>
              <a:latin typeface="+mn-lt"/>
              <a:ea typeface="+mn-ea"/>
              <a:cs typeface="+mn-cs"/>
            </a:rPr>
            <a:t>Configure la consolidación para que los datos se actualicen automáticamente si cambian los datos de origen.</a:t>
          </a:r>
          <a:endParaRPr lang="es-SV" sz="1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ppe" refreshedDate="46047.75245428241" createdVersion="8" refreshedVersion="8" minRefreshableVersion="3" recordCount="33" xr:uid="{B2836289-97AE-425F-AD8D-24DB95DD49C2}">
  <cacheSource type="worksheet">
    <worksheetSource ref="A1:B34" sheet="Ventas"/>
  </cacheSource>
  <cacheFields count="2">
    <cacheField name="Ubicación" numFmtId="0">
      <sharedItems count="5">
        <s v="Campus Universitario"/>
        <s v="Centro"/>
        <s v="Campus de la escuela secundaria"/>
        <s v="Parque Industrial"/>
        <s v="Zoológico"/>
      </sharedItems>
    </cacheField>
    <cacheField name="Enero" numFmtId="0">
      <sharedItems containsSemiMixedTypes="0" containsString="0" containsNumber="1" containsInteger="1" minValue="1010" maxValue="6587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n v="2567"/>
  </r>
  <r>
    <x v="0"/>
    <n v="1565"/>
  </r>
  <r>
    <x v="0"/>
    <n v="6587"/>
  </r>
  <r>
    <x v="0"/>
    <n v="5915"/>
  </r>
  <r>
    <x v="0"/>
    <n v="3873"/>
  </r>
  <r>
    <x v="0"/>
    <n v="1543"/>
  </r>
  <r>
    <x v="0"/>
    <n v="4567"/>
  </r>
  <r>
    <x v="1"/>
    <n v="2012"/>
  </r>
  <r>
    <x v="1"/>
    <n v="1700"/>
  </r>
  <r>
    <x v="1"/>
    <n v="1989"/>
  </r>
  <r>
    <x v="1"/>
    <n v="1388"/>
  </r>
  <r>
    <x v="1"/>
    <n v="1100"/>
  </r>
  <r>
    <x v="1"/>
    <n v="1010"/>
  </r>
  <r>
    <x v="1"/>
    <n v="2100"/>
  </r>
  <r>
    <x v="2"/>
    <n v="4410"/>
  </r>
  <r>
    <x v="2"/>
    <n v="2134"/>
  </r>
  <r>
    <x v="2"/>
    <n v="2456"/>
  </r>
  <r>
    <x v="2"/>
    <n v="2345"/>
  </r>
  <r>
    <x v="2"/>
    <n v="1200"/>
  </r>
  <r>
    <x v="3"/>
    <n v="3798"/>
  </r>
  <r>
    <x v="3"/>
    <n v="4400"/>
  </r>
  <r>
    <x v="3"/>
    <n v="5500"/>
  </r>
  <r>
    <x v="3"/>
    <n v="5656"/>
  </r>
  <r>
    <x v="3"/>
    <n v="4400"/>
  </r>
  <r>
    <x v="3"/>
    <n v="4567"/>
  </r>
  <r>
    <x v="3"/>
    <n v="4566"/>
  </r>
  <r>
    <x v="4"/>
    <n v="2012"/>
  </r>
  <r>
    <x v="4"/>
    <n v="1700"/>
  </r>
  <r>
    <x v="4"/>
    <n v="1989"/>
  </r>
  <r>
    <x v="4"/>
    <n v="1388"/>
  </r>
  <r>
    <x v="4"/>
    <n v="1100"/>
  </r>
  <r>
    <x v="4"/>
    <n v="1010"/>
  </r>
  <r>
    <x v="4"/>
    <n v="2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1ACB7-D8A1-4D0C-9942-F7A38B954AF9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D4:E10" firstHeaderRow="1" firstDataRow="1" firstDataCol="1"/>
  <pivotFields count="2">
    <pivotField axis="axisRow" showAll="0">
      <items count="6">
        <item x="2"/>
        <item x="0"/>
        <item x="1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Ventas de Enero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5062-4406-468C-AA66-7BF89A96B75D}">
  <dimension ref="B2:C11"/>
  <sheetViews>
    <sheetView tabSelected="1" zoomScale="115" zoomScaleNormal="115" workbookViewId="0"/>
  </sheetViews>
  <sheetFormatPr baseColWidth="10" defaultRowHeight="14.4" x14ac:dyDescent="0.3"/>
  <cols>
    <col min="1" max="1" width="2.33203125" customWidth="1"/>
    <col min="2" max="2" width="12.33203125" bestFit="1" customWidth="1"/>
    <col min="3" max="3" width="14.88671875" bestFit="1" customWidth="1"/>
    <col min="6" max="6" width="12.33203125" customWidth="1"/>
  </cols>
  <sheetData>
    <row r="2" spans="2:3" x14ac:dyDescent="0.3">
      <c r="B2" s="5" t="s">
        <v>12</v>
      </c>
      <c r="C2" s="6" t="s">
        <v>13</v>
      </c>
    </row>
    <row r="3" spans="2:3" x14ac:dyDescent="0.3">
      <c r="B3" s="7" t="s">
        <v>0</v>
      </c>
      <c r="C3" s="8" t="s">
        <v>6</v>
      </c>
    </row>
    <row r="4" spans="2:3" x14ac:dyDescent="0.3">
      <c r="B4" s="9" t="s">
        <v>1</v>
      </c>
      <c r="C4" s="10" t="s">
        <v>7</v>
      </c>
    </row>
    <row r="5" spans="2:3" x14ac:dyDescent="0.3">
      <c r="B5" s="7" t="s">
        <v>2</v>
      </c>
      <c r="C5" s="8" t="s">
        <v>8</v>
      </c>
    </row>
    <row r="6" spans="2:3" x14ac:dyDescent="0.3">
      <c r="B6" s="9" t="s">
        <v>3</v>
      </c>
      <c r="C6" s="10" t="s">
        <v>9</v>
      </c>
    </row>
    <row r="7" spans="2:3" x14ac:dyDescent="0.3">
      <c r="B7" s="7" t="s">
        <v>4</v>
      </c>
      <c r="C7" s="8" t="s">
        <v>10</v>
      </c>
    </row>
    <row r="8" spans="2:3" x14ac:dyDescent="0.3">
      <c r="B8" s="3" t="s">
        <v>5</v>
      </c>
      <c r="C8" s="4" t="s">
        <v>11</v>
      </c>
    </row>
    <row r="10" spans="2:3" x14ac:dyDescent="0.3">
      <c r="B10" s="5" t="s">
        <v>12</v>
      </c>
      <c r="C10" t="s">
        <v>2</v>
      </c>
    </row>
    <row r="11" spans="2:3" x14ac:dyDescent="0.3">
      <c r="B11" s="5" t="s">
        <v>13</v>
      </c>
      <c r="C11" s="8"/>
    </row>
  </sheetData>
  <dataValidations count="1">
    <dataValidation type="list" allowBlank="1" showInputMessage="1" showErrorMessage="1" sqref="C10" xr:uid="{800DD1F7-EE0F-4126-AA8A-814002F6264D}">
      <formula1>$B$3:$B$8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77C81-B548-43A4-B6D7-4F370039014C}">
  <dimension ref="B5:G11"/>
  <sheetViews>
    <sheetView zoomScale="115" zoomScaleNormal="115" workbookViewId="0"/>
  </sheetViews>
  <sheetFormatPr baseColWidth="10" defaultRowHeight="14.4" x14ac:dyDescent="0.3"/>
  <cols>
    <col min="1" max="1" width="2.33203125" customWidth="1"/>
    <col min="2" max="2" width="12.33203125" bestFit="1" customWidth="1"/>
    <col min="3" max="3" width="14.88671875" bestFit="1" customWidth="1"/>
    <col min="5" max="5" width="6.109375" customWidth="1"/>
    <col min="6" max="6" width="12.33203125" customWidth="1"/>
    <col min="9" max="9" width="21.21875" bestFit="1" customWidth="1"/>
  </cols>
  <sheetData>
    <row r="5" spans="2:7" x14ac:dyDescent="0.3">
      <c r="F5" t="s">
        <v>65</v>
      </c>
    </row>
    <row r="6" spans="2:7" x14ac:dyDescent="0.3">
      <c r="B6" s="5" t="s">
        <v>21</v>
      </c>
      <c r="C6" s="24" t="s">
        <v>19</v>
      </c>
      <c r="D6" s="12" t="s">
        <v>20</v>
      </c>
      <c r="F6" s="11" t="s">
        <v>19</v>
      </c>
      <c r="G6" s="12" t="s">
        <v>20</v>
      </c>
    </row>
    <row r="7" spans="2:7" x14ac:dyDescent="0.3">
      <c r="B7" s="7" t="s">
        <v>7</v>
      </c>
      <c r="C7" s="25">
        <f t="shared" ref="C7:C11" ca="1" si="0">RANDBETWEEN(0,10)</f>
        <v>8</v>
      </c>
      <c r="D7" s="14"/>
      <c r="F7" s="13">
        <v>0</v>
      </c>
      <c r="G7" s="14" t="s">
        <v>18</v>
      </c>
    </row>
    <row r="8" spans="2:7" x14ac:dyDescent="0.3">
      <c r="B8" s="9" t="s">
        <v>8</v>
      </c>
      <c r="C8" s="26">
        <f t="shared" ca="1" si="0"/>
        <v>1</v>
      </c>
      <c r="D8" s="16"/>
      <c r="F8" s="15">
        <v>6</v>
      </c>
      <c r="G8" s="16" t="s">
        <v>17</v>
      </c>
    </row>
    <row r="9" spans="2:7" x14ac:dyDescent="0.3">
      <c r="B9" s="7" t="s">
        <v>9</v>
      </c>
      <c r="C9" s="25">
        <f t="shared" ca="1" si="0"/>
        <v>2</v>
      </c>
      <c r="D9" s="14"/>
      <c r="F9" s="13">
        <v>7</v>
      </c>
      <c r="G9" s="14" t="s">
        <v>16</v>
      </c>
    </row>
    <row r="10" spans="2:7" x14ac:dyDescent="0.3">
      <c r="B10" s="9" t="s">
        <v>10</v>
      </c>
      <c r="C10" s="26">
        <f t="shared" ca="1" si="0"/>
        <v>9</v>
      </c>
      <c r="D10" s="16"/>
      <c r="F10" s="15">
        <v>9</v>
      </c>
      <c r="G10" s="16" t="s">
        <v>15</v>
      </c>
    </row>
    <row r="11" spans="2:7" x14ac:dyDescent="0.3">
      <c r="B11" s="1" t="s">
        <v>11</v>
      </c>
      <c r="C11" s="27">
        <f t="shared" ca="1" si="0"/>
        <v>9</v>
      </c>
      <c r="D11" s="18"/>
      <c r="F11" s="17">
        <v>10</v>
      </c>
      <c r="G11" s="18" t="s">
        <v>14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6087-7350-402B-BA22-EC00E6865CC1}">
  <dimension ref="A2:E15"/>
  <sheetViews>
    <sheetView zoomScale="115" zoomScaleNormal="115" workbookViewId="0"/>
  </sheetViews>
  <sheetFormatPr baseColWidth="10" defaultRowHeight="14.4" x14ac:dyDescent="0.3"/>
  <cols>
    <col min="2" max="2" width="18.6640625" bestFit="1" customWidth="1"/>
    <col min="3" max="3" width="12.6640625" bestFit="1" customWidth="1"/>
    <col min="4" max="4" width="21.21875" bestFit="1" customWidth="1"/>
    <col min="5" max="5" width="20.109375" customWidth="1"/>
  </cols>
  <sheetData>
    <row r="2" spans="1:5" x14ac:dyDescent="0.3">
      <c r="A2" s="5" t="s">
        <v>29</v>
      </c>
      <c r="B2" s="21" t="s">
        <v>30</v>
      </c>
      <c r="C2" s="21" t="s">
        <v>21</v>
      </c>
      <c r="D2" s="21" t="s">
        <v>31</v>
      </c>
      <c r="E2" s="6" t="s">
        <v>22</v>
      </c>
    </row>
    <row r="3" spans="1:5" x14ac:dyDescent="0.3">
      <c r="A3" s="7">
        <v>101</v>
      </c>
      <c r="B3" s="22" t="s">
        <v>23</v>
      </c>
      <c r="C3" s="22" t="s">
        <v>35</v>
      </c>
      <c r="D3" s="22" t="s">
        <v>32</v>
      </c>
      <c r="E3" s="28">
        <v>25180</v>
      </c>
    </row>
    <row r="4" spans="1:5" x14ac:dyDescent="0.3">
      <c r="A4" s="9">
        <v>102</v>
      </c>
      <c r="B4" s="23" t="s">
        <v>24</v>
      </c>
      <c r="C4" s="23" t="s">
        <v>36</v>
      </c>
      <c r="D4" s="23" t="s">
        <v>33</v>
      </c>
      <c r="E4" s="29">
        <v>19043</v>
      </c>
    </row>
    <row r="5" spans="1:5" x14ac:dyDescent="0.3">
      <c r="A5" s="7">
        <v>103</v>
      </c>
      <c r="B5" s="22" t="s">
        <v>25</v>
      </c>
      <c r="C5" s="22" t="s">
        <v>37</v>
      </c>
      <c r="D5" s="22" t="s">
        <v>32</v>
      </c>
      <c r="E5" s="28">
        <v>23253</v>
      </c>
    </row>
    <row r="6" spans="1:5" x14ac:dyDescent="0.3">
      <c r="A6" s="9">
        <v>104</v>
      </c>
      <c r="B6" s="23" t="s">
        <v>26</v>
      </c>
      <c r="C6" s="23" t="s">
        <v>38</v>
      </c>
      <c r="D6" s="23" t="s">
        <v>32</v>
      </c>
      <c r="E6" s="29">
        <v>21447</v>
      </c>
    </row>
    <row r="7" spans="1:5" x14ac:dyDescent="0.3">
      <c r="A7" s="7">
        <v>105</v>
      </c>
      <c r="B7" s="22" t="s">
        <v>27</v>
      </c>
      <c r="C7" s="22" t="s">
        <v>39</v>
      </c>
      <c r="D7" s="22" t="s">
        <v>34</v>
      </c>
      <c r="E7" s="28">
        <v>20152</v>
      </c>
    </row>
    <row r="8" spans="1:5" x14ac:dyDescent="0.3">
      <c r="A8" s="3">
        <v>106</v>
      </c>
      <c r="B8" s="19" t="s">
        <v>28</v>
      </c>
      <c r="C8" s="19" t="s">
        <v>40</v>
      </c>
      <c r="D8" s="19" t="s">
        <v>32</v>
      </c>
      <c r="E8" s="30">
        <v>23194</v>
      </c>
    </row>
    <row r="11" spans="1:5" x14ac:dyDescent="0.3">
      <c r="B11" s="38" t="s">
        <v>21</v>
      </c>
      <c r="C11" s="22" t="s">
        <v>38</v>
      </c>
    </row>
    <row r="12" spans="1:5" x14ac:dyDescent="0.3">
      <c r="B12" s="38" t="s">
        <v>29</v>
      </c>
      <c r="C12" s="10"/>
    </row>
    <row r="13" spans="1:5" x14ac:dyDescent="0.3">
      <c r="B13" s="38" t="s">
        <v>30</v>
      </c>
      <c r="C13" s="28"/>
    </row>
    <row r="14" spans="1:5" x14ac:dyDescent="0.3">
      <c r="B14" s="38" t="s">
        <v>31</v>
      </c>
      <c r="C14" s="29"/>
    </row>
    <row r="15" spans="1:5" x14ac:dyDescent="0.3">
      <c r="B15" s="38" t="s">
        <v>41</v>
      </c>
      <c r="C15" s="28"/>
    </row>
  </sheetData>
  <dataValidations count="1">
    <dataValidation type="list" allowBlank="1" showInputMessage="1" showErrorMessage="1" sqref="C11" xr:uid="{29A88871-BCA7-45D8-A84B-BBEA95B3C08B}">
      <formula1>$C$3:$C$8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E739-8073-4E63-83C9-9B28538C80D4}">
  <dimension ref="A1:E34"/>
  <sheetViews>
    <sheetView workbookViewId="0"/>
  </sheetViews>
  <sheetFormatPr baseColWidth="10" defaultRowHeight="14.4" x14ac:dyDescent="0.3"/>
  <cols>
    <col min="1" max="1" width="28.109375" bestFit="1" customWidth="1"/>
    <col min="4" max="4" width="28.109375" bestFit="1" customWidth="1"/>
    <col min="5" max="5" width="14.109375" bestFit="1" customWidth="1"/>
  </cols>
  <sheetData>
    <row r="1" spans="1:5" x14ac:dyDescent="0.3">
      <c r="A1" s="5" t="s">
        <v>47</v>
      </c>
      <c r="B1" s="6" t="s">
        <v>48</v>
      </c>
    </row>
    <row r="2" spans="1:5" x14ac:dyDescent="0.3">
      <c r="A2" s="7" t="s">
        <v>42</v>
      </c>
      <c r="B2" s="8">
        <v>2567</v>
      </c>
    </row>
    <row r="3" spans="1:5" x14ac:dyDescent="0.3">
      <c r="A3" s="9" t="s">
        <v>42</v>
      </c>
      <c r="B3" s="10">
        <v>1565</v>
      </c>
    </row>
    <row r="4" spans="1:5" x14ac:dyDescent="0.3">
      <c r="A4" s="7" t="s">
        <v>42</v>
      </c>
      <c r="B4" s="8">
        <v>6587</v>
      </c>
      <c r="D4" s="31" t="s">
        <v>49</v>
      </c>
      <c r="E4" t="s">
        <v>51</v>
      </c>
    </row>
    <row r="5" spans="1:5" x14ac:dyDescent="0.3">
      <c r="A5" s="9" t="s">
        <v>42</v>
      </c>
      <c r="B5" s="10">
        <v>5915</v>
      </c>
      <c r="D5" s="32" t="s">
        <v>44</v>
      </c>
      <c r="E5">
        <v>12545</v>
      </c>
    </row>
    <row r="6" spans="1:5" x14ac:dyDescent="0.3">
      <c r="A6" s="7" t="s">
        <v>42</v>
      </c>
      <c r="B6" s="8">
        <v>3873</v>
      </c>
      <c r="D6" s="32" t="s">
        <v>42</v>
      </c>
      <c r="E6">
        <v>26617</v>
      </c>
    </row>
    <row r="7" spans="1:5" x14ac:dyDescent="0.3">
      <c r="A7" s="9" t="s">
        <v>42</v>
      </c>
      <c r="B7" s="10">
        <v>1543</v>
      </c>
      <c r="D7" s="32" t="s">
        <v>43</v>
      </c>
      <c r="E7">
        <v>11299</v>
      </c>
    </row>
    <row r="8" spans="1:5" x14ac:dyDescent="0.3">
      <c r="A8" s="7" t="s">
        <v>42</v>
      </c>
      <c r="B8" s="8">
        <v>4567</v>
      </c>
      <c r="D8" s="32" t="s">
        <v>45</v>
      </c>
      <c r="E8">
        <v>32887</v>
      </c>
    </row>
    <row r="9" spans="1:5" x14ac:dyDescent="0.3">
      <c r="A9" s="9" t="s">
        <v>43</v>
      </c>
      <c r="B9" s="10">
        <v>2012</v>
      </c>
      <c r="D9" s="32" t="s">
        <v>46</v>
      </c>
      <c r="E9">
        <v>11299</v>
      </c>
    </row>
    <row r="10" spans="1:5" x14ac:dyDescent="0.3">
      <c r="A10" s="7" t="s">
        <v>43</v>
      </c>
      <c r="B10" s="8">
        <v>1700</v>
      </c>
      <c r="D10" s="32" t="s">
        <v>50</v>
      </c>
      <c r="E10">
        <v>94647</v>
      </c>
    </row>
    <row r="11" spans="1:5" x14ac:dyDescent="0.3">
      <c r="A11" s="9" t="s">
        <v>43</v>
      </c>
      <c r="B11" s="10">
        <v>1989</v>
      </c>
    </row>
    <row r="12" spans="1:5" x14ac:dyDescent="0.3">
      <c r="A12" s="7" t="s">
        <v>43</v>
      </c>
      <c r="B12" s="8">
        <v>1388</v>
      </c>
    </row>
    <row r="13" spans="1:5" x14ac:dyDescent="0.3">
      <c r="A13" s="9" t="s">
        <v>43</v>
      </c>
      <c r="B13" s="10">
        <v>1100</v>
      </c>
    </row>
    <row r="14" spans="1:5" x14ac:dyDescent="0.3">
      <c r="A14" s="7" t="s">
        <v>43</v>
      </c>
      <c r="B14" s="8">
        <v>1010</v>
      </c>
      <c r="D14" t="s">
        <v>47</v>
      </c>
      <c r="E14" t="s">
        <v>45</v>
      </c>
    </row>
    <row r="15" spans="1:5" x14ac:dyDescent="0.3">
      <c r="A15" s="9" t="s">
        <v>43</v>
      </c>
      <c r="B15" s="10">
        <v>2100</v>
      </c>
      <c r="D15" s="5" t="s">
        <v>47</v>
      </c>
      <c r="E15" s="6" t="s">
        <v>48</v>
      </c>
    </row>
    <row r="16" spans="1:5" x14ac:dyDescent="0.3">
      <c r="A16" s="7" t="s">
        <v>44</v>
      </c>
      <c r="B16" s="8">
        <v>4410</v>
      </c>
    </row>
    <row r="17" spans="1:2" x14ac:dyDescent="0.3">
      <c r="A17" s="9" t="s">
        <v>44</v>
      </c>
      <c r="B17" s="10">
        <v>2134</v>
      </c>
    </row>
    <row r="18" spans="1:2" x14ac:dyDescent="0.3">
      <c r="A18" s="7" t="s">
        <v>44</v>
      </c>
      <c r="B18" s="8">
        <v>2456</v>
      </c>
    </row>
    <row r="19" spans="1:2" x14ac:dyDescent="0.3">
      <c r="A19" s="9" t="s">
        <v>44</v>
      </c>
      <c r="B19" s="10">
        <v>2345</v>
      </c>
    </row>
    <row r="20" spans="1:2" x14ac:dyDescent="0.3">
      <c r="A20" s="7" t="s">
        <v>44</v>
      </c>
      <c r="B20" s="8">
        <v>1200</v>
      </c>
    </row>
    <row r="21" spans="1:2" x14ac:dyDescent="0.3">
      <c r="A21" s="9" t="s">
        <v>45</v>
      </c>
      <c r="B21" s="10">
        <v>3798</v>
      </c>
    </row>
    <row r="22" spans="1:2" x14ac:dyDescent="0.3">
      <c r="A22" s="7" t="s">
        <v>45</v>
      </c>
      <c r="B22" s="8">
        <v>4400</v>
      </c>
    </row>
    <row r="23" spans="1:2" x14ac:dyDescent="0.3">
      <c r="A23" s="9" t="s">
        <v>45</v>
      </c>
      <c r="B23" s="10">
        <v>5500</v>
      </c>
    </row>
    <row r="24" spans="1:2" x14ac:dyDescent="0.3">
      <c r="A24" s="7" t="s">
        <v>45</v>
      </c>
      <c r="B24" s="8">
        <v>5656</v>
      </c>
    </row>
    <row r="25" spans="1:2" x14ac:dyDescent="0.3">
      <c r="A25" s="9" t="s">
        <v>45</v>
      </c>
      <c r="B25" s="10">
        <v>4400</v>
      </c>
    </row>
    <row r="26" spans="1:2" x14ac:dyDescent="0.3">
      <c r="A26" s="7" t="s">
        <v>45</v>
      </c>
      <c r="B26" s="8">
        <v>4567</v>
      </c>
    </row>
    <row r="27" spans="1:2" x14ac:dyDescent="0.3">
      <c r="A27" s="9" t="s">
        <v>45</v>
      </c>
      <c r="B27" s="10">
        <v>4566</v>
      </c>
    </row>
    <row r="28" spans="1:2" x14ac:dyDescent="0.3">
      <c r="A28" s="7" t="s">
        <v>46</v>
      </c>
      <c r="B28" s="8">
        <v>2012</v>
      </c>
    </row>
    <row r="29" spans="1:2" x14ac:dyDescent="0.3">
      <c r="A29" s="9" t="s">
        <v>46</v>
      </c>
      <c r="B29" s="10">
        <v>1700</v>
      </c>
    </row>
    <row r="30" spans="1:2" x14ac:dyDescent="0.3">
      <c r="A30" s="7" t="s">
        <v>46</v>
      </c>
      <c r="B30" s="8">
        <v>1989</v>
      </c>
    </row>
    <row r="31" spans="1:2" x14ac:dyDescent="0.3">
      <c r="A31" s="9" t="s">
        <v>46</v>
      </c>
      <c r="B31" s="10">
        <v>1388</v>
      </c>
    </row>
    <row r="32" spans="1:2" x14ac:dyDescent="0.3">
      <c r="A32" s="7" t="s">
        <v>46</v>
      </c>
      <c r="B32" s="8">
        <v>1100</v>
      </c>
    </row>
    <row r="33" spans="1:2" x14ac:dyDescent="0.3">
      <c r="A33" s="9" t="s">
        <v>46</v>
      </c>
      <c r="B33" s="10">
        <v>1010</v>
      </c>
    </row>
    <row r="34" spans="1:2" x14ac:dyDescent="0.3">
      <c r="A34" s="1" t="s">
        <v>46</v>
      </c>
      <c r="B34" s="2">
        <v>2100</v>
      </c>
    </row>
  </sheetData>
  <dataValidations count="1">
    <dataValidation type="list" allowBlank="1" showInputMessage="1" showErrorMessage="1" sqref="E14" xr:uid="{31A3034A-4627-45EE-9A81-FBB462E475CA}">
      <formula1>$A$2:$A$34</formula1>
    </dataValidation>
  </dataValidations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EDB7-90B3-4252-A10A-E62B6BCEF8D2}">
  <dimension ref="A1:B8"/>
  <sheetViews>
    <sheetView zoomScale="130" zoomScaleNormal="130" workbookViewId="0"/>
  </sheetViews>
  <sheetFormatPr baseColWidth="10" defaultRowHeight="14.4" x14ac:dyDescent="0.3"/>
  <cols>
    <col min="1" max="1" width="16.21875" customWidth="1"/>
    <col min="2" max="2" width="16" customWidth="1"/>
  </cols>
  <sheetData>
    <row r="1" spans="1:2" x14ac:dyDescent="0.3">
      <c r="A1" s="5" t="s">
        <v>49</v>
      </c>
      <c r="B1" s="6" t="s">
        <v>51</v>
      </c>
    </row>
    <row r="2" spans="1:2" x14ac:dyDescent="0.3">
      <c r="A2" s="7" t="s">
        <v>44</v>
      </c>
      <c r="B2" s="33">
        <v>12545</v>
      </c>
    </row>
    <row r="3" spans="1:2" x14ac:dyDescent="0.3">
      <c r="A3" s="9" t="s">
        <v>42</v>
      </c>
      <c r="B3" s="34">
        <v>26617</v>
      </c>
    </row>
    <row r="4" spans="1:2" x14ac:dyDescent="0.3">
      <c r="A4" s="7" t="s">
        <v>43</v>
      </c>
      <c r="B4" s="33">
        <v>11299</v>
      </c>
    </row>
    <row r="5" spans="1:2" x14ac:dyDescent="0.3">
      <c r="A5" s="9" t="s">
        <v>45</v>
      </c>
      <c r="B5" s="34">
        <v>32887</v>
      </c>
    </row>
    <row r="6" spans="1:2" x14ac:dyDescent="0.3">
      <c r="A6" s="7" t="s">
        <v>46</v>
      </c>
      <c r="B6" s="33">
        <v>11299</v>
      </c>
    </row>
    <row r="7" spans="1:2" x14ac:dyDescent="0.3">
      <c r="B7" s="35"/>
    </row>
    <row r="8" spans="1:2" x14ac:dyDescent="0.3">
      <c r="A8" s="36" t="s">
        <v>52</v>
      </c>
      <c r="B8" s="37">
        <f>SUM(B2:B7)</f>
        <v>94647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8616-5CC8-448D-84CD-53E4E8D03B9A}">
  <dimension ref="A1"/>
  <sheetViews>
    <sheetView workbookViewId="0"/>
  </sheetViews>
  <sheetFormatPr baseColWidth="10" defaultRowHeight="14.4" x14ac:dyDescent="0.3"/>
  <sheetData/>
  <dataConsolidate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AD57-91B3-41DE-8DA4-95B63777844C}">
  <dimension ref="B3:G10"/>
  <sheetViews>
    <sheetView zoomScale="115" zoomScaleNormal="115" workbookViewId="0">
      <selection activeCell="A2" sqref="A2"/>
    </sheetView>
  </sheetViews>
  <sheetFormatPr baseColWidth="10" defaultRowHeight="14.4" x14ac:dyDescent="0.3"/>
  <sheetData>
    <row r="3" spans="2:7" x14ac:dyDescent="0.3">
      <c r="B3" s="5" t="s">
        <v>64</v>
      </c>
    </row>
    <row r="5" spans="2:7" x14ac:dyDescent="0.3">
      <c r="B5" s="5" t="s">
        <v>53</v>
      </c>
      <c r="C5" s="21" t="s">
        <v>59</v>
      </c>
      <c r="D5" s="21" t="s">
        <v>60</v>
      </c>
      <c r="E5" s="21" t="s">
        <v>61</v>
      </c>
      <c r="F5" s="21" t="s">
        <v>62</v>
      </c>
      <c r="G5" s="6" t="s">
        <v>63</v>
      </c>
    </row>
    <row r="6" spans="2:7" x14ac:dyDescent="0.3">
      <c r="B6" s="5" t="s">
        <v>54</v>
      </c>
      <c r="C6" s="22">
        <v>414</v>
      </c>
      <c r="D6" s="22">
        <v>919</v>
      </c>
      <c r="E6" s="22">
        <v>769</v>
      </c>
      <c r="F6" s="22">
        <v>814</v>
      </c>
      <c r="G6" s="8">
        <v>141</v>
      </c>
    </row>
    <row r="7" spans="2:7" x14ac:dyDescent="0.3">
      <c r="B7" s="5" t="s">
        <v>55</v>
      </c>
      <c r="C7" s="23">
        <v>838</v>
      </c>
      <c r="D7" s="23">
        <v>859</v>
      </c>
      <c r="E7" s="23">
        <v>153</v>
      </c>
      <c r="F7" s="23">
        <v>929</v>
      </c>
      <c r="G7" s="10">
        <v>336</v>
      </c>
    </row>
    <row r="8" spans="2:7" x14ac:dyDescent="0.3">
      <c r="B8" s="5" t="s">
        <v>56</v>
      </c>
      <c r="C8" s="22">
        <v>241</v>
      </c>
      <c r="D8" s="22">
        <v>863</v>
      </c>
      <c r="E8" s="22">
        <v>415</v>
      </c>
      <c r="F8" s="22">
        <v>638</v>
      </c>
      <c r="G8" s="8">
        <v>474</v>
      </c>
    </row>
    <row r="9" spans="2:7" x14ac:dyDescent="0.3">
      <c r="B9" s="5" t="s">
        <v>57</v>
      </c>
      <c r="C9" s="23">
        <v>831</v>
      </c>
      <c r="D9" s="23">
        <v>337</v>
      </c>
      <c r="E9" s="23">
        <v>863</v>
      </c>
      <c r="F9" s="23">
        <v>801</v>
      </c>
      <c r="G9" s="10">
        <v>562</v>
      </c>
    </row>
    <row r="10" spans="2:7" x14ac:dyDescent="0.3">
      <c r="B10" s="5" t="s">
        <v>58</v>
      </c>
      <c r="C10" s="20">
        <v>817</v>
      </c>
      <c r="D10" s="20">
        <v>505</v>
      </c>
      <c r="E10" s="20">
        <v>187</v>
      </c>
      <c r="F10" s="20">
        <v>187</v>
      </c>
      <c r="G10" s="2">
        <v>912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E0CD-F2DD-4189-8D9D-FE7F545A9A5F}">
  <dimension ref="B3:G10"/>
  <sheetViews>
    <sheetView zoomScale="115" zoomScaleNormal="115" workbookViewId="0">
      <selection activeCell="A2" sqref="A2"/>
    </sheetView>
  </sheetViews>
  <sheetFormatPr baseColWidth="10" defaultRowHeight="14.4" x14ac:dyDescent="0.3"/>
  <sheetData>
    <row r="3" spans="2:7" x14ac:dyDescent="0.3">
      <c r="B3" s="5" t="s">
        <v>64</v>
      </c>
    </row>
    <row r="5" spans="2:7" x14ac:dyDescent="0.3">
      <c r="B5" s="5" t="s">
        <v>53</v>
      </c>
      <c r="C5" s="21" t="s">
        <v>59</v>
      </c>
      <c r="D5" s="21" t="s">
        <v>60</v>
      </c>
      <c r="E5" s="21" t="s">
        <v>61</v>
      </c>
      <c r="F5" s="21" t="s">
        <v>62</v>
      </c>
      <c r="G5" s="6" t="s">
        <v>63</v>
      </c>
    </row>
    <row r="6" spans="2:7" x14ac:dyDescent="0.3">
      <c r="B6" s="5" t="s">
        <v>54</v>
      </c>
      <c r="C6" s="22">
        <v>681</v>
      </c>
      <c r="D6" s="22">
        <v>851</v>
      </c>
      <c r="E6" s="22">
        <v>747</v>
      </c>
      <c r="F6" s="22">
        <v>318</v>
      </c>
      <c r="G6" s="8">
        <v>354</v>
      </c>
    </row>
    <row r="7" spans="2:7" x14ac:dyDescent="0.3">
      <c r="B7" s="5" t="s">
        <v>55</v>
      </c>
      <c r="C7" s="23">
        <v>593</v>
      </c>
      <c r="D7" s="23">
        <v>253</v>
      </c>
      <c r="E7" s="23">
        <v>310</v>
      </c>
      <c r="F7" s="23">
        <v>592</v>
      </c>
      <c r="G7" s="10">
        <v>753</v>
      </c>
    </row>
    <row r="8" spans="2:7" x14ac:dyDescent="0.3">
      <c r="B8" s="5" t="s">
        <v>56</v>
      </c>
      <c r="C8" s="22">
        <v>690</v>
      </c>
      <c r="D8" s="22">
        <v>290</v>
      </c>
      <c r="E8" s="22">
        <v>993</v>
      </c>
      <c r="F8" s="22">
        <v>710</v>
      </c>
      <c r="G8" s="8">
        <v>871</v>
      </c>
    </row>
    <row r="9" spans="2:7" x14ac:dyDescent="0.3">
      <c r="B9" s="5" t="s">
        <v>57</v>
      </c>
      <c r="C9" s="23">
        <v>306</v>
      </c>
      <c r="D9" s="23">
        <v>163</v>
      </c>
      <c r="E9" s="23">
        <v>247</v>
      </c>
      <c r="F9" s="23">
        <v>332</v>
      </c>
      <c r="G9" s="10">
        <v>451</v>
      </c>
    </row>
    <row r="10" spans="2:7" x14ac:dyDescent="0.3">
      <c r="B10" s="5" t="s">
        <v>58</v>
      </c>
      <c r="C10" s="20">
        <v>938</v>
      </c>
      <c r="D10" s="20">
        <v>879</v>
      </c>
      <c r="E10" s="20">
        <v>274</v>
      </c>
      <c r="F10" s="20">
        <v>382</v>
      </c>
      <c r="G10" s="2">
        <v>620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B89B-6B8B-4F93-9BFD-287B3668B31F}">
  <dimension ref="B3:G10"/>
  <sheetViews>
    <sheetView zoomScale="115" zoomScaleNormal="115" workbookViewId="0">
      <selection activeCell="A2" sqref="A2"/>
    </sheetView>
  </sheetViews>
  <sheetFormatPr baseColWidth="10" defaultRowHeight="14.4" x14ac:dyDescent="0.3"/>
  <sheetData>
    <row r="3" spans="2:7" x14ac:dyDescent="0.3">
      <c r="B3" s="5" t="s">
        <v>64</v>
      </c>
    </row>
    <row r="5" spans="2:7" x14ac:dyDescent="0.3">
      <c r="B5" s="5" t="s">
        <v>53</v>
      </c>
      <c r="C5" s="21" t="s">
        <v>59</v>
      </c>
      <c r="D5" s="21" t="s">
        <v>60</v>
      </c>
      <c r="E5" s="21" t="s">
        <v>61</v>
      </c>
      <c r="F5" s="21" t="s">
        <v>62</v>
      </c>
      <c r="G5" s="6" t="s">
        <v>63</v>
      </c>
    </row>
    <row r="6" spans="2:7" x14ac:dyDescent="0.3">
      <c r="B6" s="5" t="s">
        <v>54</v>
      </c>
      <c r="C6" s="22">
        <v>849</v>
      </c>
      <c r="D6" s="22">
        <v>445</v>
      </c>
      <c r="E6" s="22">
        <v>323</v>
      </c>
      <c r="F6" s="22">
        <v>600</v>
      </c>
      <c r="G6" s="8">
        <v>372</v>
      </c>
    </row>
    <row r="7" spans="2:7" x14ac:dyDescent="0.3">
      <c r="B7" s="5" t="s">
        <v>55</v>
      </c>
      <c r="C7" s="23">
        <v>909</v>
      </c>
      <c r="D7" s="23">
        <v>975</v>
      </c>
      <c r="E7" s="23">
        <v>359</v>
      </c>
      <c r="F7" s="23">
        <v>173</v>
      </c>
      <c r="G7" s="10">
        <v>711</v>
      </c>
    </row>
    <row r="8" spans="2:7" x14ac:dyDescent="0.3">
      <c r="B8" s="5" t="s">
        <v>56</v>
      </c>
      <c r="C8" s="22">
        <v>375</v>
      </c>
      <c r="D8" s="22">
        <v>931</v>
      </c>
      <c r="E8" s="22">
        <v>343</v>
      </c>
      <c r="F8" s="22">
        <v>430</v>
      </c>
      <c r="G8" s="8">
        <v>978</v>
      </c>
    </row>
    <row r="9" spans="2:7" x14ac:dyDescent="0.3">
      <c r="B9" s="5" t="s">
        <v>57</v>
      </c>
      <c r="C9" s="23">
        <v>909</v>
      </c>
      <c r="D9" s="23">
        <v>648</v>
      </c>
      <c r="E9" s="23">
        <v>335</v>
      </c>
      <c r="F9" s="23">
        <v>191</v>
      </c>
      <c r="G9" s="10">
        <v>391</v>
      </c>
    </row>
    <row r="10" spans="2:7" x14ac:dyDescent="0.3">
      <c r="B10" s="5" t="s">
        <v>58</v>
      </c>
      <c r="C10" s="20">
        <v>484</v>
      </c>
      <c r="D10" s="20">
        <v>182</v>
      </c>
      <c r="E10" s="20">
        <v>144</v>
      </c>
      <c r="F10" s="20">
        <v>132</v>
      </c>
      <c r="G10" s="2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Busca Catálogo</vt:lpstr>
      <vt:lpstr>Calificaciones</vt:lpstr>
      <vt:lpstr>Vendedores</vt:lpstr>
      <vt:lpstr>Ventas</vt:lpstr>
      <vt:lpstr>Escenario</vt:lpstr>
      <vt:lpstr>Consolidar</vt:lpstr>
      <vt:lpstr>Semana1</vt:lpstr>
      <vt:lpstr>Semana2</vt:lpstr>
      <vt:lpstr>Semana3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Lopez</dc:creator>
  <cp:lastModifiedBy>Jose Lopez</cp:lastModifiedBy>
  <dcterms:created xsi:type="dcterms:W3CDTF">2026-01-25T17:05:56Z</dcterms:created>
  <dcterms:modified xsi:type="dcterms:W3CDTF">2026-01-26T01:59:19Z</dcterms:modified>
</cp:coreProperties>
</file>